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Executive Summary" sheetId="2" state="visible" r:id="rId4"/>
    <sheet name="Tracker" sheetId="3" state="visible" r:id="rId5"/>
    <sheet name="Sync Log" sheetId="4" state="visible" r:id="rId6"/>
    <sheet name="Sub-Tasks" sheetId="5" state="visible" r:id="rId7"/>
    <sheet name="Risk-Issue Log" sheetId="6" state="visible" r:id="rId8"/>
    <sheet name="Stakeholders" sheetId="7" state="visible" r:id="rId9"/>
    <sheet name="Change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<sst xmlns="http://schemas.openxmlformats.org/spreadsheetml/2006/main" count="313" uniqueCount="189">
  <si>
    <t xml:space="preserve">Azure Chat Bot Project — AWS Rebuild Tracker</t>
  </si>
  <si>
    <t xml:space="preserve">Project re-scoped to AWS. Updated column set + milestone guide below.</t>
  </si>
  <si>
    <t xml:space="preserve">1. What changed</t>
  </si>
  <si>
    <t xml:space="preserve">Platform pivot</t>
  </si>
  <si>
    <t xml:space="preserve">Customer has moved this from Azure to AWS. The project restarts from access provisioning — the milestone list below reflects an AWS build, not the original Azure one.</t>
  </si>
  <si>
    <t xml:space="preserve">New columns added</t>
  </si>
  <si>
    <t xml:space="preserve">Phase, Priority, Status, and % Complete have been added to the original 9. This gives the dashboard enough structure to group by phase and show real progress bars, and makes the sheet easy for a Python script to parse later.</t>
  </si>
  <si>
    <t xml:space="preserve">2. The 12 columns, explained</t>
  </si>
  <si>
    <t xml:space="preserve">SN</t>
  </si>
  <si>
    <t xml:space="preserve">Row order. Keep the sheet sorted by Target Date and this stays meaningful.</t>
  </si>
  <si>
    <t xml:space="preserve">Milestone</t>
  </si>
  <si>
    <t xml:space="preserve">Name the outcome, not the activity — "AWS account access provisioned" rather than "Setting up AWS access".</t>
  </si>
  <si>
    <t xml:space="preserve">Phase</t>
  </si>
  <si>
    <t xml:space="preserve">Which stage of delivery this belongs to. Pick from the dropdown (Access &amp; Governance / Infra Build / Bot Platform / Dev / Testing / Security / UAT / Deployment / Handover). This is what lets the dashboard show phase-wise progress.</t>
  </si>
  <si>
    <t xml:space="preserve">Task Owner</t>
  </si>
  <si>
    <t xml:space="preserve">Person on your team accountable for this milestone. One name per row.</t>
  </si>
  <si>
    <t xml:space="preserve">Customer Owner</t>
  </si>
  <si>
    <t xml:space="preserve">Counterpart on the customer side who needs to act, approve, or provide input.</t>
  </si>
  <si>
    <t xml:space="preserve">Priority</t>
  </si>
  <si>
    <t xml:space="preserve">High / Medium / Low — use the dropdown. Helps you and management see what to focus on if something slips.</t>
  </si>
  <si>
    <t xml:space="preserve">Start Date</t>
  </si>
  <si>
    <t xml:space="preserve">Date work actually starts. Leave blank until it does.</t>
  </si>
  <si>
    <t xml:space="preserve">Target Date</t>
  </si>
  <si>
    <t xml:space="preserve">The date you're committing to. Fill this in up front for every milestone — the dashboard timeline is built from this.</t>
  </si>
  <si>
    <t xml:space="preserve">Actual Date</t>
  </si>
  <si>
    <t xml:space="preserve">Date it was actually completed. Leave blank until done.</t>
  </si>
  <si>
    <t xml:space="preserve">Status</t>
  </si>
  <si>
    <t xml:space="preserve">Use the dropdown: Not Started / In Progress / Completed / Blocked / Delayed. Keep this current — it's the main field the dashboard reads.</t>
  </si>
  <si>
    <t xml:space="preserve">% Complete</t>
  </si>
  <si>
    <t xml:space="preserve">A number 0–100. For milestones that are one clean deliverable, this will mostly jump from 0 to 100 — that's fine. Use partial numbers for longer-running items like development or testing.</t>
  </si>
  <si>
    <t xml:space="preserve">Reason for Delay</t>
  </si>
  <si>
    <t xml:space="preserve">Only fill in when Target Date has passed without an Actual Date, or the milestone finished late. One factual sentence is enough.</t>
  </si>
  <si>
    <t xml:space="preserve">3. Weekly habit (5 minutes)</t>
  </si>
  <si>
    <t xml:space="preserve">Before your status meeting</t>
  </si>
  <si>
    <t xml:space="preserve">Update Status and % Complete for anything that moved, and fill in Actual Date for anything finished. That's all the dashboard needs.</t>
  </si>
  <si>
    <t xml:space="preserve">If a date will slip</t>
  </si>
  <si>
    <t xml:space="preserve">Only change Target Date if the milestone hasn't started and you're genuinely re-planning. If it's already overdue, leave Target Date as-is and add a Reason for Delay instead.</t>
  </si>
  <si>
    <t xml:space="preserve">4. For the Python app (later)</t>
  </si>
  <si>
    <t xml:space="preserve">Keep headers exactly as-is</t>
  </si>
  <si>
    <t xml:space="preserve">Column headers are on row 1 of the Tracker tab. Don't rename or reorder them — your script (and the dashboard's import) will match columns by header name.</t>
  </si>
  <si>
    <t xml:space="preserve">Use the dropdowns</t>
  </si>
  <si>
    <t xml:space="preserve">Status, Phase, and Priority are restricted to fixed lists (data validation) so the values your script sees are always consistent — no "in progress" vs "In-Progress" mismatches.</t>
  </si>
  <si>
    <t xml:space="preserve">5. Alternate-day sync rhythm</t>
  </si>
  <si>
    <t xml:space="preserve">Tracker tab = milestone level</t>
  </si>
  <si>
    <t xml:space="preserve">Only update Status / % Complete / Last Updated when something genuinely changed. Most milestones won't move every single sync — that's normal.</t>
  </si>
  <si>
    <t xml:space="preserve">Sync Log tab = day-to-day</t>
  </si>
  <si>
    <t xml:space="preserve">Use this for the actual conversation each sync — quick updates, blockers, next steps. Keeps the Tracker tab clean for management reporting.</t>
  </si>
  <si>
    <t xml:space="preserve">Stale-row flag</t>
  </si>
  <si>
    <t xml:space="preserve">Any milestone whose "Last Updated" is more than 6 days old (about 3 syncs) gets highlighted amber on the Tracker tab — a quick way to spot what's being overlooked.</t>
  </si>
  <si>
    <t xml:space="preserve">6. Two-level tracking: Milestones vs Sub-Tasks</t>
  </si>
  <si>
    <t xml:space="preserve">Tracker tab</t>
  </si>
  <si>
    <t xml:space="preserve">Your 18 high-level milestones (1-2 weeks each). This is what management sees.</t>
  </si>
  <si>
    <t xml:space="preserve">Sub-Tasks tab</t>
  </si>
  <si>
    <t xml:space="preserve">Break each milestone into the day-to-day tasks your team is actually doing. Pick the parent Milestone from the dropdown in column A so it links back correctly.</t>
  </si>
  <si>
    <t xml:space="preserve">% Complete is now automatic</t>
  </si>
  <si>
    <t xml:space="preserve">The Tracker's % Complete column is now a formula — it counts how many Sub-Tasks under that milestone are marked "Completed" out of the total. Check off sub-tasks as you go, and the milestone-level % updates itself. Don't type into that column anymore — it will get overwritten by the formula.</t>
  </si>
  <si>
    <t xml:space="preserve">Status stays manual</t>
  </si>
  <si>
    <t xml:space="preserve">Keep setting Status on the Tracker tab yourself (Not Started / In Progress / Completed / Blocked / Delayed) — % Complete alone doesn't tell you if something is blocked.</t>
  </si>
  <si>
    <t xml:space="preserve">7. New tabs added</t>
  </si>
  <si>
    <t xml:space="preserve">Executive Summary</t>
  </si>
  <si>
    <t xml:space="preserve">A one-page, Excel-native snapshot (KPIs + charts) auto-calculated from the Tracker. Handy if you need to share a quick status without opening the web dashboard.</t>
  </si>
  <si>
    <t xml:space="preserve">Risk-Issue Log</t>
  </si>
  <si>
    <t xml:space="preserve">Track things that could go wrong (Risks) or already have (Issues), separate from day-to-day delay reasons. Review this briefly at each sync.</t>
  </si>
  <si>
    <t xml:space="preserve">Stakeholders</t>
  </si>
  <si>
    <t xml:space="preserve">One place for who's who — your team and the customer's — and their RACI role. Fill this in early; it'll save you time later.</t>
  </si>
  <si>
    <t xml:space="preserve">Change Log</t>
  </si>
  <si>
    <t xml:space="preserve">A short history of major changes (like the Azure→AWS platform switch already logged as the first entry). Add an entry whenever scope or a committed date genuinely changes.</t>
  </si>
  <si>
    <t xml:space="preserve">8. RAG Status &amp; Remarks columns</t>
  </si>
  <si>
    <t xml:space="preserve">RAG Status (auto)</t>
  </si>
  <si>
    <t xml:space="preserve">Calculated for you — Green (on track / completed on time), Amber (completed late, or due within 7 days), Red (overdue, or marked Blocked). Shows "-" until a Target Date is set. Don't type into this column — it's a formula.</t>
  </si>
  <si>
    <t xml:space="preserve">Remarks / Next Steps</t>
  </si>
  <si>
    <t xml:space="preserve">A free-text field for anything worth noting on a milestone that's going fine — not just the ones that are late. Use "Reason for Delay" only for actual delays; use this for everything else, like what's planned next.</t>
  </si>
  <si>
    <t xml:space="preserve">Azure Chat Bot (AWS Rebuild) — Executive Summary</t>
  </si>
  <si>
    <t xml:space="preserve">Auto-calculated from the Tracker tab. Refresh (F9) after updating milestone data.</t>
  </si>
  <si>
    <t xml:space="preserve">Total Milestones</t>
  </si>
  <si>
    <t xml:space="preserve">Completed</t>
  </si>
  <si>
    <t xml:space="preserve">Overdue</t>
  </si>
  <si>
    <t xml:space="preserve">Due Soon (7 days)</t>
  </si>
  <si>
    <t xml:space="preserve">Overall % Complete</t>
  </si>
  <si>
    <t xml:space="preserve">Status Breakdown</t>
  </si>
  <si>
    <t xml:space="preserve">Phase-wise Avg. % Complete</t>
  </si>
  <si>
    <t xml:space="preserve">Count</t>
  </si>
  <si>
    <t xml:space="preserve">Avg %</t>
  </si>
  <si>
    <t xml:space="preserve">Not Started</t>
  </si>
  <si>
    <t xml:space="preserve">Access &amp; Governance</t>
  </si>
  <si>
    <t xml:space="preserve">In Progress</t>
  </si>
  <si>
    <t xml:space="preserve">Infra Build</t>
  </si>
  <si>
    <t xml:space="preserve">Bot Platform</t>
  </si>
  <si>
    <t xml:space="preserve">Blocked</t>
  </si>
  <si>
    <t xml:space="preserve">Development</t>
  </si>
  <si>
    <t xml:space="preserve">Delayed</t>
  </si>
  <si>
    <t xml:space="preserve">Testing</t>
  </si>
  <si>
    <t xml:space="preserve">Security</t>
  </si>
  <si>
    <t xml:space="preserve">UAT</t>
  </si>
  <si>
    <t xml:space="preserve">Deployment</t>
  </si>
  <si>
    <t xml:space="preserve">Handover</t>
  </si>
  <si>
    <t xml:space="preserve">Helper Data — auto-calculated, feeds the charts above. Don't edit.</t>
  </si>
  <si>
    <t xml:space="preserve">RAG</t>
  </si>
  <si>
    <t xml:space="preserve">Risk Impact (Open)</t>
  </si>
  <si>
    <t xml:space="preserve">Segment</t>
  </si>
  <si>
    <t xml:space="preserve">Value</t>
  </si>
  <si>
    <t xml:space="preserve">Green</t>
  </si>
  <si>
    <t xml:space="preserve">High</t>
  </si>
  <si>
    <t xml:space="preserve">Complete</t>
  </si>
  <si>
    <t xml:space="preserve">Amber</t>
  </si>
  <si>
    <t xml:space="preserve">Medium</t>
  </si>
  <si>
    <t xml:space="preserve">Remaining</t>
  </si>
  <si>
    <t xml:space="preserve">Red</t>
  </si>
  <si>
    <t xml:space="preserve">Low</t>
  </si>
  <si>
    <t xml:space="preserve">Owner</t>
  </si>
  <si>
    <t xml:space="preserve">Unassigned</t>
  </si>
  <si>
    <t xml:space="preserve">Last Updated</t>
  </si>
  <si>
    <t xml:space="preserve">RAG Status</t>
  </si>
  <si>
    <t xml:space="preserve">AWS Landing Zone / Account Access Provisioned</t>
  </si>
  <si>
    <t xml:space="preserve">IAM Roles, Policies &amp; Access Controls Setup</t>
  </si>
  <si>
    <t xml:space="preserve">VPC &amp; Networking Setup</t>
  </si>
  <si>
    <t xml:space="preserve">Core AWS Services Provisioning (Compute, Storage, DB)</t>
  </si>
  <si>
    <t xml:space="preserve">CI/CD Pipeline Setup</t>
  </si>
  <si>
    <t xml:space="preserve">Bot Platform Setup (Amazon Lex / Bedrock Agent)</t>
  </si>
  <si>
    <t xml:space="preserve">Conversation Design (Intents &amp; Flows)</t>
  </si>
  <si>
    <t xml:space="preserve">NLU Model Training &amp; Tuning</t>
  </si>
  <si>
    <t xml:space="preserve">Knowledge Base Integration (Kendra / Bedrock KB)</t>
  </si>
  <si>
    <t xml:space="preserve">Backend/App Logic Development</t>
  </si>
  <si>
    <t xml:space="preserve">Channel Integration (Web / Teams / Slack)</t>
  </si>
  <si>
    <t xml:space="preserve">Internal QA &amp; Functional Testing</t>
  </si>
  <si>
    <t xml:space="preserve">Performance &amp; Load Testing</t>
  </si>
  <si>
    <t xml:space="preserve">Security &amp; Compliance Review</t>
  </si>
  <si>
    <t xml:space="preserve">UAT with Customer</t>
  </si>
  <si>
    <t xml:space="preserve">Production Environment Setup</t>
  </si>
  <si>
    <t xml:space="preserve">Go-Live / Production Deployment</t>
  </si>
  <si>
    <t xml:space="preserve">Hypercare, Documentation &amp; Handover</t>
  </si>
  <si>
    <t xml:space="preserve">Date</t>
  </si>
  <si>
    <t xml:space="preserve">Milestone / Workstream</t>
  </si>
  <si>
    <t xml:space="preserve">Update Owner</t>
  </si>
  <si>
    <t xml:space="preserve">Key Update</t>
  </si>
  <si>
    <t xml:space="preserve">Blockers / Issues</t>
  </si>
  <si>
    <t xml:space="preserve">Next Steps</t>
  </si>
  <si>
    <t xml:space="preserve">Next Sync Date</t>
  </si>
  <si>
    <t xml:space="preserve">Tip: log the highlights from each alternate-day sync here. Update Status/% Complete on the Tracker tab only when something actually changed.</t>
  </si>
  <si>
    <t xml:space="preserve">Sub-Task</t>
  </si>
  <si>
    <t xml:space="preserve">Notes</t>
  </si>
  <si>
    <t xml:space="preserve">Raise AWS account request with customer</t>
  </si>
  <si>
    <t xml:space="preserve">Confirm billing &amp; org structure</t>
  </si>
  <si>
    <t xml:space="preserve">Set up root account MFA</t>
  </si>
  <si>
    <t xml:space="preserve">Validate access with team</t>
  </si>
  <si>
    <t xml:space="preserve">Define role structure (dev/test/prod)</t>
  </si>
  <si>
    <t xml:space="preserve">Create IAM policies</t>
  </si>
  <si>
    <t xml:space="preserve">Assign roles to team members</t>
  </si>
  <si>
    <t xml:space="preserve">ID</t>
  </si>
  <si>
    <t xml:space="preserve">Type</t>
  </si>
  <si>
    <t xml:space="preserve">Description</t>
  </si>
  <si>
    <t xml:space="preserve">Related Milestone</t>
  </si>
  <si>
    <t xml:space="preserve">Impact</t>
  </si>
  <si>
    <t xml:space="preserve">Likelihood</t>
  </si>
  <si>
    <t xml:space="preserve">Mitigation / Action Plan</t>
  </si>
  <si>
    <t xml:space="preserve">Date Raised</t>
  </si>
  <si>
    <t xml:space="preserve">Date Resolved</t>
  </si>
  <si>
    <t xml:space="preserve">Risk</t>
  </si>
  <si>
    <t xml:space="preserve">AWS access/IAM approvals may take longer than planned due to customer's internal governance process</t>
  </si>
  <si>
    <t xml:space="preserve">Escalate access requests early; get a named approver on customer side</t>
  </si>
  <si>
    <t xml:space="preserve">Open</t>
  </si>
  <si>
    <t xml:space="preserve">Bedrock/Lex service limits or region availability may differ from what was used on Azure</t>
  </si>
  <si>
    <t xml:space="preserve">Confirm service quotas and region support before design starts</t>
  </si>
  <si>
    <t xml:space="preserve">Name</t>
  </si>
  <si>
    <t xml:space="preserve">Role / Title</t>
  </si>
  <si>
    <t xml:space="preserve">Organization</t>
  </si>
  <si>
    <t xml:space="preserve">RACI</t>
  </si>
  <si>
    <t xml:space="preserve">Email</t>
  </si>
  <si>
    <t xml:space="preserve">Priya Sharma</t>
  </si>
  <si>
    <t xml:space="preserve">Delivery Lead</t>
  </si>
  <si>
    <t xml:space="preserve">Ours</t>
  </si>
  <si>
    <t xml:space="preserve">Responsible</t>
  </si>
  <si>
    <t xml:space="preserve">Arjun Mehta</t>
  </si>
  <si>
    <t xml:space="preserve">Cloud/Infra Engineer</t>
  </si>
  <si>
    <t xml:space="preserve">Project Sponsor</t>
  </si>
  <si>
    <t xml:space="preserve">Customer</t>
  </si>
  <si>
    <t xml:space="preserve">Accountable</t>
  </si>
  <si>
    <t xml:space="preserve">Customer IT/Security Contact</t>
  </si>
  <si>
    <t xml:space="preserve">Consulted</t>
  </si>
  <si>
    <t xml:space="preserve">Field Changed</t>
  </si>
  <si>
    <t xml:space="preserve">Old Value</t>
  </si>
  <si>
    <t xml:space="preserve">New Value</t>
  </si>
  <si>
    <t xml:space="preserve">Reason</t>
  </si>
  <si>
    <t xml:space="preserve">Changed By</t>
  </si>
  <si>
    <t xml:space="preserve">All milestones</t>
  </si>
  <si>
    <t xml:space="preserve">Scope/Platform</t>
  </si>
  <si>
    <t xml:space="preserve">Azure-based build</t>
  </si>
  <si>
    <t xml:space="preserve">AWS-based build</t>
  </si>
  <si>
    <t xml:space="preserve">Customer requested platform change from Azure to AWS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</si>
</sst>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\%"/>
    <numFmt numFmtId="167" formatCode="dd\-mmm\-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C6B7C"/>
      <name val="Arial"/>
      <family val="0"/>
      <charset val="1"/>
    </font>
    <font>
      <b val="true"/>
      <sz val="12"/>
      <color rgb="FF0A1E33"/>
      <name val="Arial"/>
      <family val="0"/>
      <charset val="1"/>
    </font>
    <font>
      <b val="true"/>
      <sz val="10"/>
      <color rgb="FF0A1E33"/>
      <name val="Arial"/>
      <family val="0"/>
      <charset val="1"/>
    </font>
    <font>
      <sz val="10"/>
      <color rgb="FF1B243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C6B7C"/>
      <name val="Arial"/>
      <family val="0"/>
      <charset val="1"/>
    </font>
    <font>
      <sz val="10"/>
      <color rgb="FF5C6B7C"/>
      <name val="Arial"/>
      <family val="0"/>
      <charset val="1"/>
    </font>
    <font>
      <b val="true"/>
      <sz val="14"/>
      <color rgb="FF0A1E33"/>
      <name val="Arial"/>
      <family val="0"/>
      <charset val="1"/>
    </font>
    <font>
      <b val="true"/>
      <sz val="14"/>
      <color rgb="FF0E8FD9"/>
      <name val="Arial"/>
      <family val="0"/>
      <charset val="1"/>
    </font>
    <font>
      <b val="true"/>
      <sz val="11"/>
      <color rgb="FF0A1E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0"/>
      <color rgb="FF5C6B7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B6B33"/>
      <name val="Arial"/>
      <family val="0"/>
      <charset val="1"/>
    </font>
    <font>
      <b val="true"/>
      <sz val="10"/>
      <color rgb="FF1B24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E33"/>
        <bgColor rgb="FF1B2430"/>
      </patternFill>
    </fill>
    <fill>
      <patternFill patternType="solid">
        <fgColor rgb="FF0E8FD9"/>
        <bgColor rgb="FF008080"/>
      </patternFill>
    </fill>
    <fill>
      <patternFill patternType="solid">
        <fgColor rgb="FFF5F7FA"/>
        <bgColor rgb="FFEEF1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4F6EE"/>
        </patternFill>
      </fill>
    </dxf>
    <dxf>
      <fill>
        <patternFill>
          <bgColor rgb="FFFBE7E7"/>
        </patternFill>
      </fill>
    </dxf>
    <dxf>
      <fill>
        <patternFill>
          <bgColor rgb="FFFBF0DD"/>
        </patternFill>
      </fill>
    </dxf>
    <dxf>
      <fill>
        <patternFill>
          <bgColor rgb="FFEEF1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3"/>
      <rgbColor rgb="FF000080"/>
      <rgbColor rgb="FF808000"/>
      <rgbColor rgb="FF800080"/>
      <rgbColor rgb="FF0E8FD9"/>
      <rgbColor rgb="FFB3B3B3"/>
      <rgbColor rgb="FF8064A2"/>
      <rgbColor rgb="FF9999FF"/>
      <rgbColor rgb="FFC0504D"/>
      <rgbColor rgb="FFFBF0DD"/>
      <rgbColor rgb="FFE4F6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4"/>
      <rgbColor rgb="FFD9E1E8"/>
      <rgbColor rgb="FFFBE7E7"/>
      <rgbColor rgb="FF99CCFF"/>
      <rgbColor rgb="FFFF99CC"/>
      <rgbColor rgb="FFCC99FF"/>
      <rgbColor rgb="FFF5F7FA"/>
      <rgbColor rgb="FF4F81BD"/>
      <rgbColor rgb="FF4BACC6"/>
      <rgbColor rgb="FF9BBB59"/>
      <rgbColor rgb="FFFFCC00"/>
      <rgbColor rgb="FFFF9900"/>
      <rgbColor rgb="FFFF6600"/>
      <rgbColor rgb="FF5C6B7C"/>
      <rgbColor rgb="FF969696"/>
      <rgbColor rgb="FF0A1E33"/>
      <rgbColor rgb="FF339966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Milestones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Summary'!B13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'Executive Summary'!$A$14:$A$18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Blocked</c:v>
                </c:pt>
                <c:pt idx="4">
                  <c:v>Delayed</c:v>
                </c:pt>
              </c:strCache>
            </c:strRef>
          </c:cat>
          <c:val>
            <c:numRef>
              <c:f>'Executive Summary'!$B$14:$B$18</c:f>
              <c:numCache>
                <c:formatCode>General</c:formatCode>
                <c:ptCount val="5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Phase-wise Progress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Summary'!E13</c:f>
              <c:strCache>
                <c:ptCount val="1"/>
                <c:pt idx="0">
                  <c:v>Avg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Summary'!$D$14:$D$22</c:f>
              <c:strCache>
                <c:ptCount val="9"/>
                <c:pt idx="0">
                  <c:v>Access &amp; Governance</c:v>
                </c:pt>
                <c:pt idx="1">
                  <c:v>Infra Build</c:v>
                </c:pt>
                <c:pt idx="2">
                  <c:v>Bot Platform</c:v>
                </c:pt>
                <c:pt idx="3">
                  <c:v>Development</c:v>
                </c:pt>
                <c:pt idx="4">
                  <c:v>Testing</c:v>
                </c:pt>
                <c:pt idx="5">
                  <c:v>Security</c:v>
                </c:pt>
                <c:pt idx="6">
                  <c:v>UAT</c:v>
                </c:pt>
                <c:pt idx="7">
                  <c:v>Deployment</c:v>
                </c:pt>
                <c:pt idx="8">
                  <c:v>Handover</c:v>
                </c:pt>
              </c:strCache>
            </c:strRef>
          </c:cat>
          <c:val>
            <c:numRef>
              <c:f>'Executive Summary'!$E$14:$E$22</c:f>
              <c:numCache>
                <c:formatCode>0\%</c:formatCode>
                <c:ptCount val="9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46247575"/>
        <c:axId val="26915706"/>
      </c:barChart>
      <c:catAx>
        <c:axId val="462475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15706"/>
        <c:crosses val="autoZero"/>
        <c:auto val="1"/>
        <c:lblAlgn val="ctr"/>
        <c:lblOffset val="100"/>
        <c:noMultiLvlLbl val="0"/>
      </c:catAx>
      <c:valAx>
        <c:axId val="269157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475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RAG Health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'Executive Summary'!B82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'Executive Summary'!$A$83:$A$85</c:f>
              <c:strCache>
                <c:ptCount val="3"/>
                <c:pt idx="0">
                  <c:v>Green</c:v>
                </c:pt>
                <c:pt idx="1">
                  <c:v>Amber</c:v>
                </c:pt>
                <c:pt idx="2">
                  <c:v>Red</c:v>
                </c:pt>
              </c:strCache>
            </c:strRef>
          </c:cat>
          <c:val>
            <c:numRef>
              <c:f>'Executive Summary'!$B$83:$B$85</c:f>
              <c:numCache>
                <c:formatCode>General</c:formatCode>
                <c:ptCount val="3"/>
                <c:pt idx="0">
                  <c:v>18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Priority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Summary'!E82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Summary'!$D$83:$D$85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'Executive Summary'!$E$83:$E$85</c:f>
              <c:numCache>
                <c:formatCode>General</c:formatCode>
                <c:ptCount val="3"/>
                <c:pt idx="0">
                  <c:v>13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14175000"/>
        <c:axId val="57439819"/>
      </c:barChart>
      <c:catAx>
        <c:axId val="1417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39819"/>
        <c:crosses val="autoZero"/>
        <c:auto val="1"/>
        <c:lblAlgn val="ctr"/>
        <c:lblOffset val="100"/>
        <c:noMultiLvlLbl val="0"/>
      </c:catAx>
      <c:valAx>
        <c:axId val="574398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Milestones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750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Milestones by Phase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Summary'!B89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Summary'!$A$90:$A$98</c:f>
              <c:strCache>
                <c:ptCount val="9"/>
                <c:pt idx="0">
                  <c:v>Access &amp; Governance</c:v>
                </c:pt>
                <c:pt idx="1">
                  <c:v>Infra Build</c:v>
                </c:pt>
                <c:pt idx="2">
                  <c:v>Bot Platform</c:v>
                </c:pt>
                <c:pt idx="3">
                  <c:v>Development</c:v>
                </c:pt>
                <c:pt idx="4">
                  <c:v>Testing</c:v>
                </c:pt>
                <c:pt idx="5">
                  <c:v>Security</c:v>
                </c:pt>
                <c:pt idx="6">
                  <c:v>UAT</c:v>
                </c:pt>
                <c:pt idx="7">
                  <c:v>Deployment</c:v>
                </c:pt>
                <c:pt idx="8">
                  <c:v>Handover</c:v>
                </c:pt>
              </c:strCache>
            </c:strRef>
          </c:cat>
          <c:val>
            <c:numRef>
              <c:f>'Executive Summary'!$B$90:$B$98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gapWidth val="150"/>
        <c:overlap val="0"/>
        <c:axId val="23006497"/>
        <c:axId val="80312134"/>
      </c:barChart>
      <c:catAx>
        <c:axId val="23006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12134"/>
        <c:crosses val="autoZero"/>
        <c:auto val="1"/>
        <c:lblAlgn val="ctr"/>
        <c:lblOffset val="100"/>
        <c:noMultiLvlLbl val="0"/>
      </c:catAx>
      <c:valAx>
        <c:axId val="803121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Milestones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064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Milestones by Owner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Summary'!E89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Summary'!$D$90:$D$100</c:f>
              <c:strCache>
                <c:ptCount val="11"/>
                <c:pt idx="0">
                  <c:v>Priya Sharma</c:v>
                </c:pt>
                <c:pt idx="1">
                  <c:v>Arjun Mehta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Unassigned</c:v>
                </c:pt>
              </c:strCache>
            </c:strRef>
          </c:cat>
          <c:val>
            <c:numRef>
              <c:f>'Executive Summary'!$E$90:$E$100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10">
                  <c:v>18</c:v>
                </c:pt>
              </c:numCache>
            </c:numRef>
          </c:val>
        </c:ser>
        <c:gapWidth val="150"/>
        <c:overlap val="0"/>
        <c:axId val="83227021"/>
        <c:axId val="6827283"/>
      </c:barChart>
      <c:catAx>
        <c:axId val="832270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7283"/>
        <c:crosses val="autoZero"/>
        <c:auto val="1"/>
        <c:lblAlgn val="ctr"/>
        <c:lblOffset val="100"/>
        <c:noMultiLvlLbl val="0"/>
      </c:catAx>
      <c:valAx>
        <c:axId val="68272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Milestones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270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'Executive Summary'!K82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'Executive Summary'!$J$83:$J$84</c:f>
              <c:strCache>
                <c:ptCount val="2"/>
                <c:pt idx="0">
                  <c:v>Complete</c:v>
                </c:pt>
                <c:pt idx="1">
                  <c:v>Remaining</c:v>
                </c:pt>
              </c:strCache>
            </c:strRef>
          </c:cat>
          <c:val>
            <c:numRef>
              <c:f>'Executive Summary'!$K$83:$K$84</c:f>
              <c:numCache>
                <c:formatCode>0\%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Risks by Impact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Summary'!H82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'Executive Summary'!$G$83:$G$85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'Executive Summary'!$H$83:$H$85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86400</xdr:colOff>
      <xdr:row>15</xdr:row>
      <xdr:rowOff>69120</xdr:rowOff>
    </xdr:to>
    <xdr:graphicFrame>
      <xdr:nvGraphicFramePr>
        <xdr:cNvPr id="0" name="Chart 1"/>
        <xdr:cNvGraphicFramePr/>
      </xdr:nvGraphicFramePr>
      <xdr:xfrm>
        <a:off x="5779800" y="38088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</xdr:row>
      <xdr:rowOff>0</xdr:rowOff>
    </xdr:from>
    <xdr:to>
      <xdr:col>24</xdr:col>
      <xdr:colOff>255960</xdr:colOff>
      <xdr:row>15</xdr:row>
      <xdr:rowOff>69120</xdr:rowOff>
    </xdr:to>
    <xdr:graphicFrame>
      <xdr:nvGraphicFramePr>
        <xdr:cNvPr id="1" name="Chart 2"/>
        <xdr:cNvGraphicFramePr/>
      </xdr:nvGraphicFramePr>
      <xdr:xfrm>
        <a:off x="10624320" y="3808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3</xdr:col>
      <xdr:colOff>1359360</xdr:colOff>
      <xdr:row>38</xdr:row>
      <xdr:rowOff>22320</xdr:rowOff>
    </xdr:to>
    <xdr:graphicFrame>
      <xdr:nvGraphicFramePr>
        <xdr:cNvPr id="2" name="Chart 3"/>
        <xdr:cNvGraphicFramePr/>
      </xdr:nvGraphicFramePr>
      <xdr:xfrm>
        <a:off x="0" y="47149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23</xdr:row>
      <xdr:rowOff>0</xdr:rowOff>
    </xdr:from>
    <xdr:to>
      <xdr:col>18</xdr:col>
      <xdr:colOff>147600</xdr:colOff>
      <xdr:row>38</xdr:row>
      <xdr:rowOff>22320</xdr:rowOff>
    </xdr:to>
    <xdr:graphicFrame>
      <xdr:nvGraphicFramePr>
        <xdr:cNvPr id="3" name="Chart 4"/>
        <xdr:cNvGraphicFramePr/>
      </xdr:nvGraphicFramePr>
      <xdr:xfrm>
        <a:off x="7566840" y="47149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5</xdr:col>
      <xdr:colOff>261720</xdr:colOff>
      <xdr:row>55</xdr:row>
      <xdr:rowOff>22320</xdr:rowOff>
    </xdr:to>
    <xdr:graphicFrame>
      <xdr:nvGraphicFramePr>
        <xdr:cNvPr id="4" name="Chart 5"/>
        <xdr:cNvGraphicFramePr/>
      </xdr:nvGraphicFramePr>
      <xdr:xfrm>
        <a:off x="0" y="7953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40</xdr:row>
      <xdr:rowOff>0</xdr:rowOff>
    </xdr:from>
    <xdr:to>
      <xdr:col>19</xdr:col>
      <xdr:colOff>256320</xdr:colOff>
      <xdr:row>55</xdr:row>
      <xdr:rowOff>22320</xdr:rowOff>
    </xdr:to>
    <xdr:graphicFrame>
      <xdr:nvGraphicFramePr>
        <xdr:cNvPr id="5" name="Chart 6"/>
        <xdr:cNvGraphicFramePr/>
      </xdr:nvGraphicFramePr>
      <xdr:xfrm>
        <a:off x="7566840" y="7953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57</xdr:row>
      <xdr:rowOff>0</xdr:rowOff>
    </xdr:from>
    <xdr:to>
      <xdr:col>3</xdr:col>
      <xdr:colOff>1359360</xdr:colOff>
      <xdr:row>72</xdr:row>
      <xdr:rowOff>22320</xdr:rowOff>
    </xdr:to>
    <xdr:graphicFrame>
      <xdr:nvGraphicFramePr>
        <xdr:cNvPr id="6" name="Chart 7"/>
        <xdr:cNvGraphicFramePr/>
      </xdr:nvGraphicFramePr>
      <xdr:xfrm>
        <a:off x="0" y="111920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57</xdr:row>
      <xdr:rowOff>0</xdr:rowOff>
    </xdr:from>
    <xdr:to>
      <xdr:col>17</xdr:col>
      <xdr:colOff>39240</xdr:colOff>
      <xdr:row>72</xdr:row>
      <xdr:rowOff>22320</xdr:rowOff>
    </xdr:to>
    <xdr:graphicFrame>
      <xdr:nvGraphicFramePr>
        <xdr:cNvPr id="7" name="Chart 8"/>
        <xdr:cNvGraphicFramePr/>
      </xdr:nvGraphicFramePr>
      <xdr:xfrm>
        <a:off x="7566840" y="111920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8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9.5" hidden="false" customHeight="true" outlineLevel="0" collapsed="false">
      <c r="B3" s="3" t="s">
        <v>1</v>
      </c>
      <c r="C3" s="3"/>
    </row>
    <row r="5" customFormat="false" ht="21.75" hidden="false" customHeight="true" outlineLevel="0" collapsed="false">
      <c r="B5" s="4" t="s">
        <v>2</v>
      </c>
      <c r="C5" s="4"/>
    </row>
    <row r="6" customFormat="false" ht="39.75" hidden="false" customHeight="true" outlineLevel="0" collapsed="false">
      <c r="B6" s="5" t="s">
        <v>3</v>
      </c>
      <c r="C6" s="6" t="s">
        <v>4</v>
      </c>
    </row>
    <row r="7" customFormat="false" ht="48" hidden="false" customHeight="true" outlineLevel="0" collapsed="false">
      <c r="B7" s="5" t="s">
        <v>5</v>
      </c>
      <c r="C7" s="6" t="s">
        <v>6</v>
      </c>
    </row>
    <row r="9" customFormat="false" ht="21.75" hidden="false" customHeight="true" outlineLevel="0" collapsed="false">
      <c r="B9" s="4" t="s">
        <v>7</v>
      </c>
      <c r="C9" s="4"/>
    </row>
    <row r="10" customFormat="false" ht="31.5" hidden="false" customHeight="true" outlineLevel="0" collapsed="false">
      <c r="B10" s="5" t="s">
        <v>8</v>
      </c>
      <c r="C10" s="6" t="s">
        <v>9</v>
      </c>
    </row>
    <row r="11" customFormat="false" ht="31.5" hidden="false" customHeight="true" outlineLevel="0" collapsed="false">
      <c r="B11" s="5" t="s">
        <v>10</v>
      </c>
      <c r="C11" s="6" t="s">
        <v>11</v>
      </c>
    </row>
    <row r="12" customFormat="false" ht="31.5" hidden="false" customHeight="true" outlineLevel="0" collapsed="false">
      <c r="B12" s="5" t="s">
        <v>12</v>
      </c>
      <c r="C12" s="6" t="s">
        <v>13</v>
      </c>
    </row>
    <row r="13" customFormat="false" ht="31.5" hidden="false" customHeight="true" outlineLevel="0" collapsed="false">
      <c r="B13" s="5" t="s">
        <v>14</v>
      </c>
      <c r="C13" s="6" t="s">
        <v>15</v>
      </c>
    </row>
    <row r="14" customFormat="false" ht="31.5" hidden="false" customHeight="true" outlineLevel="0" collapsed="false">
      <c r="B14" s="5" t="s">
        <v>16</v>
      </c>
      <c r="C14" s="6" t="s">
        <v>17</v>
      </c>
    </row>
    <row r="15" customFormat="false" ht="31.5" hidden="false" customHeight="true" outlineLevel="0" collapsed="false">
      <c r="B15" s="5" t="s">
        <v>18</v>
      </c>
      <c r="C15" s="6" t="s">
        <v>19</v>
      </c>
    </row>
    <row r="16" customFormat="false" ht="31.5" hidden="false" customHeight="true" outlineLevel="0" collapsed="false">
      <c r="B16" s="5" t="s">
        <v>20</v>
      </c>
      <c r="C16" s="6" t="s">
        <v>21</v>
      </c>
    </row>
    <row r="17" customFormat="false" ht="31.5" hidden="false" customHeight="true" outlineLevel="0" collapsed="false">
      <c r="B17" s="5" t="s">
        <v>22</v>
      </c>
      <c r="C17" s="6" t="s">
        <v>23</v>
      </c>
    </row>
    <row r="18" customFormat="false" ht="31.5" hidden="false" customHeight="true" outlineLevel="0" collapsed="false">
      <c r="B18" s="5" t="s">
        <v>24</v>
      </c>
      <c r="C18" s="6" t="s">
        <v>25</v>
      </c>
    </row>
    <row r="19" customFormat="false" ht="31.5" hidden="false" customHeight="true" outlineLevel="0" collapsed="false">
      <c r="B19" s="5" t="s">
        <v>26</v>
      </c>
      <c r="C19" s="6" t="s">
        <v>27</v>
      </c>
    </row>
    <row r="20" customFormat="false" ht="31.5" hidden="false" customHeight="true" outlineLevel="0" collapsed="false">
      <c r="B20" s="5" t="s">
        <v>28</v>
      </c>
      <c r="C20" s="6" t="s">
        <v>29</v>
      </c>
    </row>
    <row r="21" customFormat="false" ht="31.5" hidden="false" customHeight="true" outlineLevel="0" collapsed="false">
      <c r="B21" s="5" t="s">
        <v>30</v>
      </c>
      <c r="C21" s="6" t="s">
        <v>31</v>
      </c>
    </row>
    <row r="23" customFormat="false" ht="21.75" hidden="false" customHeight="true" outlineLevel="0" collapsed="false">
      <c r="B23" s="4" t="s">
        <v>32</v>
      </c>
      <c r="C23" s="4"/>
    </row>
    <row r="24" customFormat="false" ht="39.75" hidden="false" customHeight="true" outlineLevel="0" collapsed="false">
      <c r="B24" s="5" t="s">
        <v>33</v>
      </c>
      <c r="C24" s="6" t="s">
        <v>34</v>
      </c>
    </row>
    <row r="25" customFormat="false" ht="43.5" hidden="false" customHeight="true" outlineLevel="0" collapsed="false">
      <c r="B25" s="5" t="s">
        <v>35</v>
      </c>
      <c r="C25" s="6" t="s">
        <v>36</v>
      </c>
    </row>
    <row r="27" customFormat="false" ht="21.75" hidden="false" customHeight="true" outlineLevel="0" collapsed="false">
      <c r="B27" s="4" t="s">
        <v>37</v>
      </c>
      <c r="C27" s="4"/>
    </row>
    <row r="28" customFormat="false" ht="43.5" hidden="false" customHeight="true" outlineLevel="0" collapsed="false">
      <c r="B28" s="5" t="s">
        <v>38</v>
      </c>
      <c r="C28" s="6" t="s">
        <v>39</v>
      </c>
    </row>
    <row r="29" customFormat="false" ht="43.5" hidden="false" customHeight="true" outlineLevel="0" collapsed="false">
      <c r="B29" s="5" t="s">
        <v>40</v>
      </c>
      <c r="C29" s="6" t="s">
        <v>41</v>
      </c>
    </row>
    <row r="31" customFormat="false" ht="21.75" hidden="false" customHeight="true" outlineLevel="0" collapsed="false">
      <c r="B31" s="4" t="s">
        <v>42</v>
      </c>
      <c r="C31" s="4"/>
    </row>
    <row r="32" customFormat="false" ht="43.5" hidden="false" customHeight="true" outlineLevel="0" collapsed="false">
      <c r="B32" s="5" t="s">
        <v>43</v>
      </c>
      <c r="C32" s="6" t="s">
        <v>44</v>
      </c>
    </row>
    <row r="33" customFormat="false" ht="43.5" hidden="false" customHeight="true" outlineLevel="0" collapsed="false">
      <c r="B33" s="5" t="s">
        <v>45</v>
      </c>
      <c r="C33" s="6" t="s">
        <v>46</v>
      </c>
    </row>
    <row r="34" customFormat="false" ht="43.5" hidden="false" customHeight="true" outlineLevel="0" collapsed="false">
      <c r="B34" s="5" t="s">
        <v>47</v>
      </c>
      <c r="C34" s="6" t="s">
        <v>48</v>
      </c>
    </row>
    <row r="36" customFormat="false" ht="21.75" hidden="false" customHeight="true" outlineLevel="0" collapsed="false">
      <c r="B36" s="4" t="s">
        <v>49</v>
      </c>
      <c r="C36" s="4"/>
    </row>
    <row r="37" customFormat="false" ht="30" hidden="false" customHeight="true" outlineLevel="0" collapsed="false">
      <c r="B37" s="5" t="s">
        <v>50</v>
      </c>
      <c r="C37" s="6" t="s">
        <v>51</v>
      </c>
    </row>
    <row r="38" customFormat="false" ht="45.75" hidden="false" customHeight="true" outlineLevel="0" collapsed="false">
      <c r="B38" s="5" t="s">
        <v>52</v>
      </c>
      <c r="C38" s="6" t="s">
        <v>53</v>
      </c>
    </row>
    <row r="39" customFormat="false" ht="60" hidden="false" customHeight="true" outlineLevel="0" collapsed="false">
      <c r="B39" s="5" t="s">
        <v>54</v>
      </c>
      <c r="C39" s="6" t="s">
        <v>55</v>
      </c>
    </row>
    <row r="40" customFormat="false" ht="43.5" hidden="false" customHeight="true" outlineLevel="0" collapsed="false">
      <c r="B40" s="5" t="s">
        <v>56</v>
      </c>
      <c r="C40" s="6" t="s">
        <v>57</v>
      </c>
    </row>
    <row r="42" customFormat="false" ht="21.75" hidden="false" customHeight="true" outlineLevel="0" collapsed="false">
      <c r="B42" s="4" t="s">
        <v>58</v>
      </c>
      <c r="C42" s="4"/>
    </row>
    <row r="43" customFormat="false" ht="43.5" hidden="false" customHeight="true" outlineLevel="0" collapsed="false">
      <c r="B43" s="5" t="s">
        <v>59</v>
      </c>
      <c r="C43" s="6" t="s">
        <v>60</v>
      </c>
    </row>
    <row r="44" customFormat="false" ht="39.75" hidden="false" customHeight="true" outlineLevel="0" collapsed="false">
      <c r="B44" s="5" t="s">
        <v>61</v>
      </c>
      <c r="C44" s="6" t="s">
        <v>62</v>
      </c>
    </row>
    <row r="45" customFormat="false" ht="39.75" hidden="false" customHeight="true" outlineLevel="0" collapsed="false">
      <c r="B45" s="5" t="s">
        <v>63</v>
      </c>
      <c r="C45" s="6" t="s">
        <v>64</v>
      </c>
    </row>
    <row r="46" customFormat="false" ht="48" hidden="false" customHeight="true" outlineLevel="0" collapsed="false">
      <c r="B46" s="5" t="s">
        <v>65</v>
      </c>
      <c r="C46" s="6" t="s">
        <v>66</v>
      </c>
    </row>
    <row r="48" customFormat="false" ht="21.75" hidden="false" customHeight="true" outlineLevel="0" collapsed="false">
      <c r="B48" s="4" t="s">
        <v>67</v>
      </c>
      <c r="C48" s="4"/>
    </row>
    <row r="49" customFormat="false" ht="55.5" hidden="false" customHeight="true" outlineLevel="0" collapsed="false">
      <c r="B49" s="5" t="s">
        <v>68</v>
      </c>
      <c r="C49" s="6" t="s">
        <v>69</v>
      </c>
    </row>
    <row r="50" customFormat="false" ht="51.75" hidden="false" customHeight="true" outlineLevel="0" collapsed="false">
      <c r="B50" s="5" t="s">
        <v>70</v>
      </c>
      <c r="C50" s="6" t="s">
        <v>71</v>
      </c>
    </row>
  </sheetData>
  <mergeCells count="10">
    <mergeCell ref="B2:C2"/>
    <mergeCell ref="B3:C3"/>
    <mergeCell ref="B5:C5"/>
    <mergeCell ref="B9:C9"/>
    <mergeCell ref="B23:C23"/>
    <mergeCell ref="B27:C27"/>
    <mergeCell ref="B31:C31"/>
    <mergeCell ref="B36:C36"/>
    <mergeCell ref="B42:C42"/>
    <mergeCell ref="B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8" min="6" style="1" width="4"/>
  </cols>
  <sheetData>
    <row r="1" customFormat="false" ht="30" hidden="false" customHeight="true" outlineLevel="0" collapsed="false">
      <c r="A1" s="7" t="s">
        <v>72</v>
      </c>
      <c r="B1" s="7"/>
      <c r="C1" s="7"/>
      <c r="D1" s="7"/>
      <c r="E1" s="7"/>
      <c r="F1" s="7"/>
    </row>
    <row r="2" customFormat="false" ht="15" hidden="false" customHeight="true" outlineLevel="0" collapsed="false">
      <c r="A2" s="8" t="s">
        <v>73</v>
      </c>
      <c r="B2" s="8"/>
      <c r="C2" s="8"/>
      <c r="D2" s="8"/>
      <c r="E2" s="8"/>
      <c r="F2" s="8"/>
    </row>
    <row r="4" customFormat="false" ht="17.25" hidden="false" customHeight="true" outlineLevel="0" collapsed="false">
      <c r="A4" s="9" t="s">
        <v>74</v>
      </c>
      <c r="B4" s="10" t="n">
        <f aca="false">SUMPRODUCT((Tracker!$B$2:$B$35&lt;&gt;"")*1)</f>
        <v>18</v>
      </c>
    </row>
    <row r="5" customFormat="false" ht="17.25" hidden="false" customHeight="true" outlineLevel="0" collapsed="false">
      <c r="A5" s="9" t="s">
        <v>75</v>
      </c>
      <c r="B5" s="10" t="n">
        <f aca="false">COUNTIF(Tracker!$J$2:$J$35,"Completed")</f>
        <v>0</v>
      </c>
    </row>
    <row r="6" customFormat="false" ht="17.25" hidden="false" customHeight="true" outlineLevel="0" collapsed="false">
      <c r="A6" s="9" t="s">
        <v>76</v>
      </c>
      <c r="B6" s="10" t="n">
        <f aca="true">SUMPRODUCT((Tracker!$H$2:$H$35&lt;&gt;"")*(Tracker!$H$2:$H$35&lt;TODAY())*(Tracker!$I$2:$I$35="")*(Tracker!$J$2:$J$35&lt;&gt;"Completed"))</f>
        <v>0</v>
      </c>
    </row>
    <row r="7" customFormat="false" ht="17.25" hidden="false" customHeight="true" outlineLevel="0" collapsed="false">
      <c r="A7" s="9" t="s">
        <v>77</v>
      </c>
      <c r="B7" s="10" t="n">
        <f aca="true">SUMPRODUCT((Tracker!$H$2:$H$35&lt;&gt;"")*(Tracker!$H$2:$H$35&gt;=TODAY())*(Tracker!$H$2:$H$35&lt;=TODAY()+7)*(Tracker!$I$2:$I$35="")*(Tracker!$J$2:$J$35&lt;&gt;"Completed"))</f>
        <v>0</v>
      </c>
    </row>
    <row r="9" customFormat="false" ht="17.25" hidden="false" customHeight="true" outlineLevel="0" collapsed="false">
      <c r="A9" s="9" t="s">
        <v>78</v>
      </c>
      <c r="B9" s="11" t="n">
        <f aca="false">IFERROR(ROUND(AVERAGE(Tracker!$K$2:$K$35),0),0)</f>
        <v>25</v>
      </c>
    </row>
    <row r="12" customFormat="false" ht="15" hidden="false" customHeight="true" outlineLevel="0" collapsed="false">
      <c r="A12" s="12" t="s">
        <v>79</v>
      </c>
      <c r="D12" s="12" t="s">
        <v>80</v>
      </c>
    </row>
    <row r="13" customFormat="false" ht="15" hidden="false" customHeight="true" outlineLevel="0" collapsed="false">
      <c r="A13" s="13" t="s">
        <v>26</v>
      </c>
      <c r="B13" s="13" t="s">
        <v>81</v>
      </c>
      <c r="D13" s="14" t="s">
        <v>12</v>
      </c>
      <c r="E13" s="14" t="s">
        <v>82</v>
      </c>
    </row>
    <row r="14" customFormat="false" ht="15" hidden="false" customHeight="true" outlineLevel="0" collapsed="false">
      <c r="A14" s="15" t="s">
        <v>83</v>
      </c>
      <c r="B14" s="16" t="n">
        <f aca="false">COUNTIF(Tracker!$J$2:$J$35,"Not Started")</f>
        <v>18</v>
      </c>
      <c r="D14" s="15" t="s">
        <v>84</v>
      </c>
      <c r="E14" s="17" t="n">
        <f aca="false">IFERROR(ROUND(AVERAGEIFS(Tracker!$K$2:$K$35,Tracker!$C$2:$C$35,"Access &amp; Governance"),0),0)</f>
        <v>25</v>
      </c>
    </row>
    <row r="15" customFormat="false" ht="15" hidden="false" customHeight="true" outlineLevel="0" collapsed="false">
      <c r="A15" s="15" t="s">
        <v>85</v>
      </c>
      <c r="B15" s="16" t="n">
        <f aca="false">COUNTIF(Tracker!$J$2:$J$35,"In Progress")</f>
        <v>0</v>
      </c>
      <c r="D15" s="15" t="s">
        <v>86</v>
      </c>
      <c r="E15" s="17" t="n">
        <f aca="false">IFERROR(ROUND(AVERAGEIFS(Tracker!$K$2:$K$35,Tracker!$C$2:$C$35,"Infra Build"),0),0)</f>
        <v>0</v>
      </c>
    </row>
    <row r="16" customFormat="false" ht="15" hidden="false" customHeight="true" outlineLevel="0" collapsed="false">
      <c r="A16" s="15" t="s">
        <v>75</v>
      </c>
      <c r="B16" s="16" t="n">
        <f aca="false">COUNTIF(Tracker!$J$2:$J$35,"Completed")</f>
        <v>0</v>
      </c>
      <c r="D16" s="15" t="s">
        <v>87</v>
      </c>
      <c r="E16" s="17" t="n">
        <f aca="false">IFERROR(ROUND(AVERAGEIFS(Tracker!$K$2:$K$35,Tracker!$C$2:$C$35,"Bot Platform"),0),0)</f>
        <v>0</v>
      </c>
    </row>
    <row r="17" customFormat="false" ht="15" hidden="false" customHeight="true" outlineLevel="0" collapsed="false">
      <c r="A17" s="15" t="s">
        <v>88</v>
      </c>
      <c r="B17" s="16" t="n">
        <f aca="false">COUNTIF(Tracker!$J$2:$J$35,"Blocked")</f>
        <v>0</v>
      </c>
      <c r="D17" s="15" t="s">
        <v>89</v>
      </c>
      <c r="E17" s="17" t="n">
        <f aca="false">IFERROR(ROUND(AVERAGEIFS(Tracker!$K$2:$K$35,Tracker!$C$2:$C$35,"Development"),0),0)</f>
        <v>0</v>
      </c>
    </row>
    <row r="18" customFormat="false" ht="15" hidden="false" customHeight="true" outlineLevel="0" collapsed="false">
      <c r="A18" s="15" t="s">
        <v>90</v>
      </c>
      <c r="B18" s="16" t="n">
        <f aca="false">COUNTIF(Tracker!$J$2:$J$35,"Delayed")</f>
        <v>0</v>
      </c>
      <c r="D18" s="15" t="s">
        <v>91</v>
      </c>
      <c r="E18" s="17" t="n">
        <f aca="false">IFERROR(ROUND(AVERAGEIFS(Tracker!$K$2:$K$35,Tracker!$C$2:$C$35,"Testing"),0),0)</f>
        <v>0</v>
      </c>
    </row>
    <row r="19" customFormat="false" ht="15" hidden="false" customHeight="true" outlineLevel="0" collapsed="false">
      <c r="D19" s="15" t="s">
        <v>92</v>
      </c>
      <c r="E19" s="17" t="n">
        <f aca="false">IFERROR(ROUND(AVERAGEIFS(Tracker!$K$2:$K$35,Tracker!$C$2:$C$35,"Security"),0),0)</f>
        <v>0</v>
      </c>
    </row>
    <row r="20" customFormat="false" ht="15" hidden="false" customHeight="true" outlineLevel="0" collapsed="false">
      <c r="D20" s="15" t="s">
        <v>93</v>
      </c>
      <c r="E20" s="17" t="n">
        <f aca="false">IFERROR(ROUND(AVERAGEIFS(Tracker!$K$2:$K$35,Tracker!$C$2:$C$35,"UAT"),0),0)</f>
        <v>0</v>
      </c>
    </row>
    <row r="21" customFormat="false" ht="15" hidden="false" customHeight="true" outlineLevel="0" collapsed="false">
      <c r="D21" s="15" t="s">
        <v>94</v>
      </c>
      <c r="E21" s="17" t="n">
        <f aca="false">IFERROR(ROUND(AVERAGEIFS(Tracker!$K$2:$K$35,Tracker!$C$2:$C$35,"Deployment"),0),0)</f>
        <v>0</v>
      </c>
    </row>
    <row r="22" customFormat="false" ht="15" hidden="false" customHeight="true" outlineLevel="0" collapsed="false">
      <c r="D22" s="15" t="s">
        <v>95</v>
      </c>
      <c r="E22" s="17" t="n">
        <f aca="false">IFERROR(ROUND(AVERAGEIFS(Tracker!$K$2:$K$35,Tracker!$C$2:$C$35,"Handover"),0),0)</f>
        <v>0</v>
      </c>
    </row>
    <row r="80" customFormat="false" ht="15" hidden="false" customHeight="false" outlineLevel="0" collapsed="false">
      <c r="A80" s="18" t="s">
        <v>96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2" customFormat="false" ht="15" hidden="false" customHeight="false" outlineLevel="0" collapsed="false">
      <c r="A82" s="19" t="s">
        <v>97</v>
      </c>
      <c r="B82" s="19" t="s">
        <v>81</v>
      </c>
      <c r="D82" s="19" t="s">
        <v>18</v>
      </c>
      <c r="E82" s="19" t="s">
        <v>81</v>
      </c>
      <c r="G82" s="19" t="s">
        <v>98</v>
      </c>
      <c r="H82" s="19" t="s">
        <v>81</v>
      </c>
      <c r="J82" s="19" t="s">
        <v>99</v>
      </c>
      <c r="K82" s="19" t="s">
        <v>100</v>
      </c>
    </row>
    <row r="83" customFormat="false" ht="15" hidden="false" customHeight="false" outlineLevel="0" collapsed="false">
      <c r="A83" s="20" t="s">
        <v>101</v>
      </c>
      <c r="B83" s="20" t="n">
        <f aca="false">COUNTIFS(Tracker!$B$2:$B$35,"&lt;&gt;",Tracker!$N$2:$N$35,"Green")</f>
        <v>18</v>
      </c>
      <c r="D83" s="20" t="s">
        <v>102</v>
      </c>
      <c r="E83" s="20" t="n">
        <f aca="false">COUNTIF(Tracker!$F$2:$F$35,"High")</f>
        <v>13</v>
      </c>
      <c r="G83" s="20" t="s">
        <v>102</v>
      </c>
      <c r="H83" s="20" t="n">
        <f aca="false">COUNTIFS('Risk-Issue Log'!$E$2:$E$33,"High",'Risk-Issue Log'!$I$2:$I$33,"Open")</f>
        <v>1</v>
      </c>
      <c r="J83" s="20" t="s">
        <v>103</v>
      </c>
      <c r="K83" s="21" t="n">
        <f aca="false">$B$9</f>
        <v>25</v>
      </c>
    </row>
    <row r="84" customFormat="false" ht="15" hidden="false" customHeight="false" outlineLevel="0" collapsed="false">
      <c r="A84" s="20" t="s">
        <v>104</v>
      </c>
      <c r="B84" s="20" t="n">
        <f aca="false">COUNTIFS(Tracker!$B$2:$B$35,"&lt;&gt;",Tracker!$N$2:$N$35,"Amber")</f>
        <v>0</v>
      </c>
      <c r="D84" s="20" t="s">
        <v>105</v>
      </c>
      <c r="E84" s="20" t="n">
        <f aca="false">COUNTIF(Tracker!$F$2:$F$35,"Medium")</f>
        <v>5</v>
      </c>
      <c r="G84" s="20" t="s">
        <v>105</v>
      </c>
      <c r="H84" s="20" t="n">
        <f aca="false">COUNTIFS('Risk-Issue Log'!$E$2:$E$33,"Medium",'Risk-Issue Log'!$I$2:$I$33,"Open")</f>
        <v>1</v>
      </c>
      <c r="J84" s="20" t="s">
        <v>106</v>
      </c>
      <c r="K84" s="20" t="n">
        <f aca="false">100-$B$9</f>
        <v>75</v>
      </c>
    </row>
    <row r="85" customFormat="false" ht="15" hidden="false" customHeight="false" outlineLevel="0" collapsed="false">
      <c r="A85" s="20" t="s">
        <v>107</v>
      </c>
      <c r="B85" s="20" t="n">
        <f aca="false">COUNTIFS(Tracker!$B$2:$B$35,"&lt;&gt;",Tracker!$N$2:$N$35,"Red")</f>
        <v>0</v>
      </c>
      <c r="D85" s="20" t="s">
        <v>108</v>
      </c>
      <c r="E85" s="20" t="n">
        <f aca="false">COUNTIF(Tracker!$F$2:$F$35,"Low")</f>
        <v>0</v>
      </c>
      <c r="G85" s="20" t="s">
        <v>108</v>
      </c>
      <c r="H85" s="20" t="n">
        <f aca="false">COUNTIFS('Risk-Issue Log'!$E$2:$E$33,"Low",'Risk-Issue Log'!$I$2:$I$33,"Open")</f>
        <v>0</v>
      </c>
    </row>
    <row r="89" customFormat="false" ht="15" hidden="false" customHeight="false" outlineLevel="0" collapsed="false">
      <c r="A89" s="19" t="s">
        <v>12</v>
      </c>
      <c r="B89" s="19" t="s">
        <v>81</v>
      </c>
      <c r="D89" s="19" t="s">
        <v>109</v>
      </c>
      <c r="E89" s="19" t="s">
        <v>81</v>
      </c>
    </row>
    <row r="90" customFormat="false" ht="15" hidden="false" customHeight="false" outlineLevel="0" collapsed="false">
      <c r="A90" s="20" t="s">
        <v>84</v>
      </c>
      <c r="B90" s="20" t="n">
        <f aca="false">COUNTIF(Tracker!$C$2:$C$35,"Access &amp; Governance")</f>
        <v>2</v>
      </c>
      <c r="D90" s="20" t="str">
        <f aca="false">IF(Stakeholders!$A$2="","",Stakeholders!$A$2)</f>
        <v>Priya Sharma</v>
      </c>
      <c r="E90" s="20" t="n">
        <f aca="false">IF(Stakeholders!$A$2="","",COUNTIF(Tracker!$D$2:$D$35,Stakeholders!$A$2))</f>
        <v>0</v>
      </c>
    </row>
    <row r="91" customFormat="false" ht="15" hidden="false" customHeight="false" outlineLevel="0" collapsed="false">
      <c r="A91" s="20" t="s">
        <v>86</v>
      </c>
      <c r="B91" s="20" t="n">
        <f aca="false">COUNTIF(Tracker!$C$2:$C$35,"Infra Build")</f>
        <v>3</v>
      </c>
      <c r="D91" s="20" t="str">
        <f aca="false">IF(Stakeholders!$A$3="","",Stakeholders!$A$3)</f>
        <v>Arjun Mehta</v>
      </c>
      <c r="E91" s="20" t="n">
        <f aca="false">IF(Stakeholders!$A$3="","",COUNTIF(Tracker!$D$2:$D$35,Stakeholders!$A$3))</f>
        <v>0</v>
      </c>
    </row>
    <row r="92" customFormat="false" ht="15" hidden="false" customHeight="false" outlineLevel="0" collapsed="false">
      <c r="A92" s="20" t="s">
        <v>87</v>
      </c>
      <c r="B92" s="20" t="n">
        <f aca="false">COUNTIF(Tracker!$C$2:$C$35,"Bot Platform")</f>
        <v>3</v>
      </c>
      <c r="D92" s="20" t="str">
        <f aca="false">IF(Stakeholders!$A$4="","",Stakeholders!$A$4)</f>
        <v/>
      </c>
      <c r="E92" s="20" t="str">
        <f aca="false">IF(Stakeholders!$A$4="","",COUNTIF(Tracker!$D$2:$D$35,Stakeholders!$A$4))</f>
        <v/>
      </c>
    </row>
    <row r="93" customFormat="false" ht="15" hidden="false" customHeight="false" outlineLevel="0" collapsed="false">
      <c r="A93" s="20" t="s">
        <v>89</v>
      </c>
      <c r="B93" s="20" t="n">
        <f aca="false">COUNTIF(Tracker!$C$2:$C$35,"Development")</f>
        <v>3</v>
      </c>
      <c r="D93" s="20" t="str">
        <f aca="false">IF(Stakeholders!$A$5="","",Stakeholders!$A$5)</f>
        <v/>
      </c>
      <c r="E93" s="20" t="str">
        <f aca="false">IF(Stakeholders!$A$5="","",COUNTIF(Tracker!$D$2:$D$35,Stakeholders!$A$5))</f>
        <v/>
      </c>
    </row>
    <row r="94" customFormat="false" ht="15" hidden="false" customHeight="false" outlineLevel="0" collapsed="false">
      <c r="A94" s="20" t="s">
        <v>91</v>
      </c>
      <c r="B94" s="20" t="n">
        <f aca="false">COUNTIF(Tracker!$C$2:$C$35,"Testing")</f>
        <v>2</v>
      </c>
      <c r="D94" s="20" t="str">
        <f aca="false">IF(Stakeholders!$A$6="","",Stakeholders!$A$6)</f>
        <v/>
      </c>
      <c r="E94" s="20" t="str">
        <f aca="false">IF(Stakeholders!$A$6="","",COUNTIF(Tracker!$D$2:$D$35,Stakeholders!$A$6))</f>
        <v/>
      </c>
    </row>
    <row r="95" customFormat="false" ht="15" hidden="false" customHeight="false" outlineLevel="0" collapsed="false">
      <c r="A95" s="20" t="s">
        <v>92</v>
      </c>
      <c r="B95" s="20" t="n">
        <f aca="false">COUNTIF(Tracker!$C$2:$C$35,"Security")</f>
        <v>1</v>
      </c>
      <c r="D95" s="20" t="str">
        <f aca="false">IF(Stakeholders!$A$7="","",Stakeholders!$A$7)</f>
        <v/>
      </c>
      <c r="E95" s="20" t="str">
        <f aca="false">IF(Stakeholders!$A$7="","",COUNTIF(Tracker!$D$2:$D$35,Stakeholders!$A$7))</f>
        <v/>
      </c>
    </row>
    <row r="96" customFormat="false" ht="15" hidden="false" customHeight="false" outlineLevel="0" collapsed="false">
      <c r="A96" s="20" t="s">
        <v>93</v>
      </c>
      <c r="B96" s="20" t="n">
        <f aca="false">COUNTIF(Tracker!$C$2:$C$35,"UAT")</f>
        <v>1</v>
      </c>
      <c r="D96" s="20" t="str">
        <f aca="false">IF(Stakeholders!$A$8="","",Stakeholders!$A$8)</f>
        <v/>
      </c>
      <c r="E96" s="20" t="str">
        <f aca="false">IF(Stakeholders!$A$8="","",COUNTIF(Tracker!$D$2:$D$35,Stakeholders!$A$8))</f>
        <v/>
      </c>
    </row>
    <row r="97" customFormat="false" ht="15" hidden="false" customHeight="false" outlineLevel="0" collapsed="false">
      <c r="A97" s="20" t="s">
        <v>94</v>
      </c>
      <c r="B97" s="20" t="n">
        <f aca="false">COUNTIF(Tracker!$C$2:$C$35,"Deployment")</f>
        <v>2</v>
      </c>
      <c r="D97" s="20" t="str">
        <f aca="false">IF(Stakeholders!$A$9="","",Stakeholders!$A$9)</f>
        <v/>
      </c>
      <c r="E97" s="20" t="str">
        <f aca="false">IF(Stakeholders!$A$9="","",COUNTIF(Tracker!$D$2:$D$35,Stakeholders!$A$9))</f>
        <v/>
      </c>
    </row>
    <row r="98" customFormat="false" ht="15" hidden="false" customHeight="false" outlineLevel="0" collapsed="false">
      <c r="A98" s="20" t="s">
        <v>95</v>
      </c>
      <c r="B98" s="20" t="n">
        <f aca="false">COUNTIF(Tracker!$C$2:$C$35,"Handover")</f>
        <v>1</v>
      </c>
      <c r="D98" s="20" t="str">
        <f aca="false">IF(Stakeholders!$A$10="","",Stakeholders!$A$10)</f>
        <v/>
      </c>
      <c r="E98" s="20" t="str">
        <f aca="false">IF(Stakeholders!$A$10="","",COUNTIF(Tracker!$D$2:$D$35,Stakeholders!$A$10))</f>
        <v/>
      </c>
    </row>
    <row r="99" customFormat="false" ht="15" hidden="false" customHeight="false" outlineLevel="0" collapsed="false">
      <c r="D99" s="20" t="str">
        <f aca="false">IF(Stakeholders!$A$11="","",Stakeholders!$A$11)</f>
        <v/>
      </c>
      <c r="E99" s="20" t="str">
        <f aca="false">IF(Stakeholders!$A$11="","",COUNTIF(Tracker!$D$2:$D$35,Stakeholders!$A$11))</f>
        <v/>
      </c>
    </row>
    <row r="100" customFormat="false" ht="15" hidden="false" customHeight="false" outlineLevel="0" collapsed="false">
      <c r="D100" s="20" t="s">
        <v>110</v>
      </c>
      <c r="E100" s="20" t="n">
        <f aca="false">COUNTIFS(Tracker!$B$2:$B$35,"&lt;&gt;",Tracker!$D$2:$D$35,"")</f>
        <v>18</v>
      </c>
    </row>
  </sheetData>
  <mergeCells count="3">
    <mergeCell ref="A1:F1"/>
    <mergeCell ref="A2:F2"/>
    <mergeCell ref="A80:K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9" min="7" style="1" width="12"/>
    <col collapsed="false" customWidth="true" hidden="false" outlineLevel="0" max="10" min="10" style="1" width="13"/>
    <col collapsed="false" customWidth="true" hidden="false" outlineLevel="0" max="11" min="11" style="1" width="11"/>
    <col collapsed="false" customWidth="true" hidden="false" outlineLevel="0" max="12" min="12" style="1" width="30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30"/>
  </cols>
  <sheetData>
    <row r="1" customFormat="false" ht="31.5" hidden="false" customHeight="true" outlineLevel="0" collapsed="false">
      <c r="A1" s="22" t="s">
        <v>8</v>
      </c>
      <c r="B1" s="22" t="s">
        <v>10</v>
      </c>
      <c r="C1" s="22" t="s">
        <v>12</v>
      </c>
      <c r="D1" s="22" t="s">
        <v>14</v>
      </c>
      <c r="E1" s="22" t="s">
        <v>16</v>
      </c>
      <c r="F1" s="22" t="s">
        <v>18</v>
      </c>
      <c r="G1" s="22" t="s">
        <v>20</v>
      </c>
      <c r="H1" s="22" t="s">
        <v>22</v>
      </c>
      <c r="I1" s="22" t="s">
        <v>24</v>
      </c>
      <c r="J1" s="22" t="s">
        <v>26</v>
      </c>
      <c r="K1" s="22" t="s">
        <v>28</v>
      </c>
      <c r="L1" s="22" t="s">
        <v>30</v>
      </c>
      <c r="M1" s="22" t="s">
        <v>111</v>
      </c>
      <c r="N1" s="22" t="s">
        <v>112</v>
      </c>
      <c r="O1" s="22" t="s">
        <v>70</v>
      </c>
    </row>
    <row r="2" customFormat="false" ht="30" hidden="false" customHeight="true" outlineLevel="0" collapsed="false">
      <c r="A2" s="23" t="n">
        <v>1</v>
      </c>
      <c r="B2" s="24" t="s">
        <v>113</v>
      </c>
      <c r="C2" s="24" t="s">
        <v>84</v>
      </c>
      <c r="D2" s="24"/>
      <c r="E2" s="24"/>
      <c r="F2" s="23" t="s">
        <v>102</v>
      </c>
      <c r="G2" s="25"/>
      <c r="H2" s="25" t="n">
        <v>46218</v>
      </c>
      <c r="I2" s="25"/>
      <c r="J2" s="23" t="s">
        <v>83</v>
      </c>
      <c r="K2" s="26" t="n">
        <f aca="false">IF(COUNTIF('Sub-Tasks'!$A$2:$A$200,$B2)=0,"",ROUND(COUNTIFS('Sub-Tasks'!$A$2:$A$200,$B2,'Sub-Tasks'!$F$2:$F$200,"Completed")/COUNTIF('Sub-Tasks'!$A$2:$A$200,$B2)*100,0))</f>
        <v>50</v>
      </c>
      <c r="L2" s="24"/>
      <c r="M2" s="25"/>
      <c r="N2" s="27" t="str">
        <f aca="true">IF($J2="Blocked","Red",IF($I2&lt;&gt;"",IF(OR($H2="",$I2&lt;=$H2),"Green","Amber"),IF($H2="","-",IF($H2&lt;TODAY(),"Red",IF($H2&lt;=TODAY()+7,"Amber","Green")))))</f>
        <v>Green</v>
      </c>
      <c r="O2" s="24"/>
    </row>
    <row r="3" customFormat="false" ht="30" hidden="false" customHeight="true" outlineLevel="0" collapsed="false">
      <c r="A3" s="28" t="n">
        <v>2</v>
      </c>
      <c r="B3" s="29" t="s">
        <v>114</v>
      </c>
      <c r="C3" s="29" t="s">
        <v>84</v>
      </c>
      <c r="D3" s="29"/>
      <c r="E3" s="29"/>
      <c r="F3" s="28" t="s">
        <v>102</v>
      </c>
      <c r="G3" s="30"/>
      <c r="H3" s="30" t="n">
        <v>46225</v>
      </c>
      <c r="I3" s="30"/>
      <c r="J3" s="28" t="s">
        <v>83</v>
      </c>
      <c r="K3" s="31" t="n">
        <f aca="false">IF(COUNTIF('Sub-Tasks'!$A$2:$A$200,$B3)=0,"",ROUND(COUNTIFS('Sub-Tasks'!$A$2:$A$200,$B3,'Sub-Tasks'!$F$2:$F$200,"Completed")/COUNTIF('Sub-Tasks'!$A$2:$A$200,$B3)*100,0))</f>
        <v>0</v>
      </c>
      <c r="L3" s="29"/>
      <c r="M3" s="30"/>
      <c r="N3" s="32" t="str">
        <f aca="true">IF($J3="Blocked","Red",IF($I3&lt;&gt;"",IF(OR($H3="",$I3&lt;=$H3),"Green","Amber"),IF($H3="","-",IF($H3&lt;TODAY(),"Red",IF($H3&lt;=TODAY()+7,"Amber","Green")))))</f>
        <v>Green</v>
      </c>
      <c r="O3" s="29"/>
    </row>
    <row r="4" customFormat="false" ht="30" hidden="false" customHeight="true" outlineLevel="0" collapsed="false">
      <c r="A4" s="23" t="n">
        <v>3</v>
      </c>
      <c r="B4" s="24" t="s">
        <v>115</v>
      </c>
      <c r="C4" s="24" t="s">
        <v>86</v>
      </c>
      <c r="D4" s="24"/>
      <c r="E4" s="24"/>
      <c r="F4" s="23" t="s">
        <v>102</v>
      </c>
      <c r="G4" s="25"/>
      <c r="H4" s="25" t="n">
        <v>46239</v>
      </c>
      <c r="I4" s="25"/>
      <c r="J4" s="23" t="s">
        <v>83</v>
      </c>
      <c r="K4" s="26" t="str">
        <f aca="false">IF(COUNTIF('Sub-Tasks'!$A$2:$A$200,$B4)=0,"",ROUND(COUNTIFS('Sub-Tasks'!$A$2:$A$200,$B4,'Sub-Tasks'!$F$2:$F$200,"Completed")/COUNTIF('Sub-Tasks'!$A$2:$A$200,$B4)*100,0))</f>
        <v/>
      </c>
      <c r="L4" s="24"/>
      <c r="M4" s="25"/>
      <c r="N4" s="27" t="str">
        <f aca="true">IF($J4="Blocked","Red",IF($I4&lt;&gt;"",IF(OR($H4="",$I4&lt;=$H4),"Green","Amber"),IF($H4="","-",IF($H4&lt;TODAY(),"Red",IF($H4&lt;=TODAY()+7,"Amber","Green")))))</f>
        <v>Green</v>
      </c>
      <c r="O4" s="24"/>
    </row>
    <row r="5" customFormat="false" ht="30" hidden="false" customHeight="true" outlineLevel="0" collapsed="false">
      <c r="A5" s="28" t="n">
        <v>4</v>
      </c>
      <c r="B5" s="29" t="s">
        <v>116</v>
      </c>
      <c r="C5" s="29" t="s">
        <v>86</v>
      </c>
      <c r="D5" s="29"/>
      <c r="E5" s="29"/>
      <c r="F5" s="28" t="s">
        <v>102</v>
      </c>
      <c r="G5" s="30"/>
      <c r="H5" s="30" t="n">
        <v>46253</v>
      </c>
      <c r="I5" s="30"/>
      <c r="J5" s="28" t="s">
        <v>83</v>
      </c>
      <c r="K5" s="31" t="str">
        <f aca="false">IF(COUNTIF('Sub-Tasks'!$A$2:$A$200,$B5)=0,"",ROUND(COUNTIFS('Sub-Tasks'!$A$2:$A$200,$B5,'Sub-Tasks'!$F$2:$F$200,"Completed")/COUNTIF('Sub-Tasks'!$A$2:$A$200,$B5)*100,0))</f>
        <v/>
      </c>
      <c r="L5" s="29"/>
      <c r="M5" s="30"/>
      <c r="N5" s="32" t="str">
        <f aca="true">IF($J5="Blocked","Red",IF($I5&lt;&gt;"",IF(OR($H5="",$I5&lt;=$H5),"Green","Amber"),IF($H5="","-",IF($H5&lt;TODAY(),"Red",IF($H5&lt;=TODAY()+7,"Amber","Green")))))</f>
        <v>Green</v>
      </c>
      <c r="O5" s="29"/>
    </row>
    <row r="6" customFormat="false" ht="30" hidden="false" customHeight="true" outlineLevel="0" collapsed="false">
      <c r="A6" s="23" t="n">
        <v>5</v>
      </c>
      <c r="B6" s="24" t="s">
        <v>117</v>
      </c>
      <c r="C6" s="24" t="s">
        <v>86</v>
      </c>
      <c r="D6" s="24"/>
      <c r="E6" s="24"/>
      <c r="F6" s="23" t="s">
        <v>105</v>
      </c>
      <c r="G6" s="25"/>
      <c r="H6" s="25" t="n">
        <v>46262</v>
      </c>
      <c r="I6" s="25"/>
      <c r="J6" s="23" t="s">
        <v>83</v>
      </c>
      <c r="K6" s="26" t="str">
        <f aca="false">IF(COUNTIF('Sub-Tasks'!$A$2:$A$200,$B6)=0,"",ROUND(COUNTIFS('Sub-Tasks'!$A$2:$A$200,$B6,'Sub-Tasks'!$F$2:$F$200,"Completed")/COUNTIF('Sub-Tasks'!$A$2:$A$200,$B6)*100,0))</f>
        <v/>
      </c>
      <c r="L6" s="24"/>
      <c r="M6" s="25"/>
      <c r="N6" s="27" t="str">
        <f aca="true">IF($J6="Blocked","Red",IF($I6&lt;&gt;"",IF(OR($H6="",$I6&lt;=$H6),"Green","Amber"),IF($H6="","-",IF($H6&lt;TODAY(),"Red",IF($H6&lt;=TODAY()+7,"Amber","Green")))))</f>
        <v>Green</v>
      </c>
      <c r="O6" s="24"/>
    </row>
    <row r="7" customFormat="false" ht="30" hidden="false" customHeight="true" outlineLevel="0" collapsed="false">
      <c r="A7" s="28" t="n">
        <v>6</v>
      </c>
      <c r="B7" s="29" t="s">
        <v>118</v>
      </c>
      <c r="C7" s="29" t="s">
        <v>87</v>
      </c>
      <c r="D7" s="29"/>
      <c r="E7" s="29"/>
      <c r="F7" s="28" t="s">
        <v>102</v>
      </c>
      <c r="G7" s="30"/>
      <c r="H7" s="30" t="n">
        <v>46276</v>
      </c>
      <c r="I7" s="30"/>
      <c r="J7" s="28" t="s">
        <v>83</v>
      </c>
      <c r="K7" s="31" t="str">
        <f aca="false">IF(COUNTIF('Sub-Tasks'!$A$2:$A$200,$B7)=0,"",ROUND(COUNTIFS('Sub-Tasks'!$A$2:$A$200,$B7,'Sub-Tasks'!$F$2:$F$200,"Completed")/COUNTIF('Sub-Tasks'!$A$2:$A$200,$B7)*100,0))</f>
        <v/>
      </c>
      <c r="L7" s="29"/>
      <c r="M7" s="30"/>
      <c r="N7" s="32" t="str">
        <f aca="true">IF($J7="Blocked","Red",IF($I7&lt;&gt;"",IF(OR($H7="",$I7&lt;=$H7),"Green","Amber"),IF($H7="","-",IF($H7&lt;TODAY(),"Red",IF($H7&lt;=TODAY()+7,"Amber","Green")))))</f>
        <v>Green</v>
      </c>
      <c r="O7" s="29"/>
    </row>
    <row r="8" customFormat="false" ht="30" hidden="false" customHeight="true" outlineLevel="0" collapsed="false">
      <c r="A8" s="23" t="n">
        <v>7</v>
      </c>
      <c r="B8" s="24" t="s">
        <v>119</v>
      </c>
      <c r="C8" s="24" t="s">
        <v>87</v>
      </c>
      <c r="D8" s="24"/>
      <c r="E8" s="24"/>
      <c r="F8" s="23" t="s">
        <v>102</v>
      </c>
      <c r="G8" s="25"/>
      <c r="H8" s="25" t="n">
        <v>46283</v>
      </c>
      <c r="I8" s="25"/>
      <c r="J8" s="23" t="s">
        <v>83</v>
      </c>
      <c r="K8" s="26" t="str">
        <f aca="false">IF(COUNTIF('Sub-Tasks'!$A$2:$A$200,$B8)=0,"",ROUND(COUNTIFS('Sub-Tasks'!$A$2:$A$200,$B8,'Sub-Tasks'!$F$2:$F$200,"Completed")/COUNTIF('Sub-Tasks'!$A$2:$A$200,$B8)*100,0))</f>
        <v/>
      </c>
      <c r="L8" s="24"/>
      <c r="M8" s="25"/>
      <c r="N8" s="27" t="str">
        <f aca="true">IF($J8="Blocked","Red",IF($I8&lt;&gt;"",IF(OR($H8="",$I8&lt;=$H8),"Green","Amber"),IF($H8="","-",IF($H8&lt;TODAY(),"Red",IF($H8&lt;=TODAY()+7,"Amber","Green")))))</f>
        <v>Green</v>
      </c>
      <c r="O8" s="24"/>
    </row>
    <row r="9" customFormat="false" ht="30" hidden="false" customHeight="true" outlineLevel="0" collapsed="false">
      <c r="A9" s="28" t="n">
        <v>8</v>
      </c>
      <c r="B9" s="29" t="s">
        <v>120</v>
      </c>
      <c r="C9" s="29" t="s">
        <v>87</v>
      </c>
      <c r="D9" s="29"/>
      <c r="E9" s="29"/>
      <c r="F9" s="28" t="s">
        <v>105</v>
      </c>
      <c r="G9" s="30"/>
      <c r="H9" s="30" t="n">
        <v>46295</v>
      </c>
      <c r="I9" s="30"/>
      <c r="J9" s="28" t="s">
        <v>83</v>
      </c>
      <c r="K9" s="31" t="str">
        <f aca="false">IF(COUNTIF('Sub-Tasks'!$A$2:$A$200,$B9)=0,"",ROUND(COUNTIFS('Sub-Tasks'!$A$2:$A$200,$B9,'Sub-Tasks'!$F$2:$F$200,"Completed")/COUNTIF('Sub-Tasks'!$A$2:$A$200,$B9)*100,0))</f>
        <v/>
      </c>
      <c r="L9" s="29"/>
      <c r="M9" s="30"/>
      <c r="N9" s="32" t="str">
        <f aca="true">IF($J9="Blocked","Red",IF($I9&lt;&gt;"",IF(OR($H9="",$I9&lt;=$H9),"Green","Amber"),IF($H9="","-",IF($H9&lt;TODAY(),"Red",IF($H9&lt;=TODAY()+7,"Amber","Green")))))</f>
        <v>Green</v>
      </c>
      <c r="O9" s="29"/>
    </row>
    <row r="10" customFormat="false" ht="30" hidden="false" customHeight="true" outlineLevel="0" collapsed="false">
      <c r="A10" s="23" t="n">
        <v>9</v>
      </c>
      <c r="B10" s="24" t="s">
        <v>121</v>
      </c>
      <c r="C10" s="24" t="s">
        <v>89</v>
      </c>
      <c r="D10" s="24"/>
      <c r="E10" s="24"/>
      <c r="F10" s="23" t="s">
        <v>102</v>
      </c>
      <c r="G10" s="25"/>
      <c r="H10" s="25" t="n">
        <v>46309</v>
      </c>
      <c r="I10" s="25"/>
      <c r="J10" s="23" t="s">
        <v>83</v>
      </c>
      <c r="K10" s="26" t="str">
        <f aca="false">IF(COUNTIF('Sub-Tasks'!$A$2:$A$200,$B10)=0,"",ROUND(COUNTIFS('Sub-Tasks'!$A$2:$A$200,$B10,'Sub-Tasks'!$F$2:$F$200,"Completed")/COUNTIF('Sub-Tasks'!$A$2:$A$200,$B10)*100,0))</f>
        <v/>
      </c>
      <c r="L10" s="24"/>
      <c r="M10" s="25"/>
      <c r="N10" s="27" t="str">
        <f aca="true">IF($J10="Blocked","Red",IF($I10&lt;&gt;"",IF(OR($H10="",$I10&lt;=$H10),"Green","Amber"),IF($H10="","-",IF($H10&lt;TODAY(),"Red",IF($H10&lt;=TODAY()+7,"Amber","Green")))))</f>
        <v>Green</v>
      </c>
      <c r="O10" s="24"/>
    </row>
    <row r="11" customFormat="false" ht="30" hidden="false" customHeight="true" outlineLevel="0" collapsed="false">
      <c r="A11" s="28" t="n">
        <v>10</v>
      </c>
      <c r="B11" s="29" t="s">
        <v>122</v>
      </c>
      <c r="C11" s="29" t="s">
        <v>89</v>
      </c>
      <c r="D11" s="29"/>
      <c r="E11" s="29"/>
      <c r="F11" s="28" t="s">
        <v>102</v>
      </c>
      <c r="G11" s="30"/>
      <c r="H11" s="30" t="n">
        <v>46323</v>
      </c>
      <c r="I11" s="30"/>
      <c r="J11" s="28" t="s">
        <v>83</v>
      </c>
      <c r="K11" s="31" t="str">
        <f aca="false">IF(COUNTIF('Sub-Tasks'!$A$2:$A$200,$B11)=0,"",ROUND(COUNTIFS('Sub-Tasks'!$A$2:$A$200,$B11,'Sub-Tasks'!$F$2:$F$200,"Completed")/COUNTIF('Sub-Tasks'!$A$2:$A$200,$B11)*100,0))</f>
        <v/>
      </c>
      <c r="L11" s="29"/>
      <c r="M11" s="30"/>
      <c r="N11" s="32" t="str">
        <f aca="true">IF($J11="Blocked","Red",IF($I11&lt;&gt;"",IF(OR($H11="",$I11&lt;=$H11),"Green","Amber"),IF($H11="","-",IF($H11&lt;TODAY(),"Red",IF($H11&lt;=TODAY()+7,"Amber","Green")))))</f>
        <v>Green</v>
      </c>
      <c r="O11" s="29"/>
    </row>
    <row r="12" customFormat="false" ht="30" hidden="false" customHeight="true" outlineLevel="0" collapsed="false">
      <c r="A12" s="23" t="n">
        <v>11</v>
      </c>
      <c r="B12" s="24" t="s">
        <v>123</v>
      </c>
      <c r="C12" s="24" t="s">
        <v>89</v>
      </c>
      <c r="D12" s="24"/>
      <c r="E12" s="24"/>
      <c r="F12" s="23" t="s">
        <v>105</v>
      </c>
      <c r="G12" s="25"/>
      <c r="H12" s="25" t="n">
        <v>46332</v>
      </c>
      <c r="I12" s="25"/>
      <c r="J12" s="23" t="s">
        <v>83</v>
      </c>
      <c r="K12" s="26" t="str">
        <f aca="false">IF(COUNTIF('Sub-Tasks'!$A$2:$A$200,$B12)=0,"",ROUND(COUNTIFS('Sub-Tasks'!$A$2:$A$200,$B12,'Sub-Tasks'!$F$2:$F$200,"Completed")/COUNTIF('Sub-Tasks'!$A$2:$A$200,$B12)*100,0))</f>
        <v/>
      </c>
      <c r="L12" s="24"/>
      <c r="M12" s="25"/>
      <c r="N12" s="27" t="str">
        <f aca="true">IF($J12="Blocked","Red",IF($I12&lt;&gt;"",IF(OR($H12="",$I12&lt;=$H12),"Green","Amber"),IF($H12="","-",IF($H12&lt;TODAY(),"Red",IF($H12&lt;=TODAY()+7,"Amber","Green")))))</f>
        <v>Green</v>
      </c>
      <c r="O12" s="24"/>
    </row>
    <row r="13" customFormat="false" ht="30" hidden="false" customHeight="true" outlineLevel="0" collapsed="false">
      <c r="A13" s="28" t="n">
        <v>12</v>
      </c>
      <c r="B13" s="29" t="s">
        <v>124</v>
      </c>
      <c r="C13" s="29" t="s">
        <v>91</v>
      </c>
      <c r="D13" s="29"/>
      <c r="E13" s="29"/>
      <c r="F13" s="28" t="s">
        <v>102</v>
      </c>
      <c r="G13" s="30"/>
      <c r="H13" s="30" t="n">
        <v>46344</v>
      </c>
      <c r="I13" s="30"/>
      <c r="J13" s="28" t="s">
        <v>83</v>
      </c>
      <c r="K13" s="31" t="str">
        <f aca="false">IF(COUNTIF('Sub-Tasks'!$A$2:$A$200,$B13)=0,"",ROUND(COUNTIFS('Sub-Tasks'!$A$2:$A$200,$B13,'Sub-Tasks'!$F$2:$F$200,"Completed")/COUNTIF('Sub-Tasks'!$A$2:$A$200,$B13)*100,0))</f>
        <v/>
      </c>
      <c r="L13" s="29"/>
      <c r="M13" s="30"/>
      <c r="N13" s="32" t="str">
        <f aca="true">IF($J13="Blocked","Red",IF($I13&lt;&gt;"",IF(OR($H13="",$I13&lt;=$H13),"Green","Amber"),IF($H13="","-",IF($H13&lt;TODAY(),"Red",IF($H13&lt;=TODAY()+7,"Amber","Green")))))</f>
        <v>Green</v>
      </c>
      <c r="O13" s="29"/>
    </row>
    <row r="14" customFormat="false" ht="30" hidden="false" customHeight="true" outlineLevel="0" collapsed="false">
      <c r="A14" s="23" t="n">
        <v>13</v>
      </c>
      <c r="B14" s="24" t="s">
        <v>125</v>
      </c>
      <c r="C14" s="24" t="s">
        <v>91</v>
      </c>
      <c r="D14" s="24"/>
      <c r="E14" s="24"/>
      <c r="F14" s="23" t="s">
        <v>105</v>
      </c>
      <c r="G14" s="25"/>
      <c r="H14" s="25" t="n">
        <v>46351</v>
      </c>
      <c r="I14" s="25"/>
      <c r="J14" s="23" t="s">
        <v>83</v>
      </c>
      <c r="K14" s="26" t="str">
        <f aca="false">IF(COUNTIF('Sub-Tasks'!$A$2:$A$200,$B14)=0,"",ROUND(COUNTIFS('Sub-Tasks'!$A$2:$A$200,$B14,'Sub-Tasks'!$F$2:$F$200,"Completed")/COUNTIF('Sub-Tasks'!$A$2:$A$200,$B14)*100,0))</f>
        <v/>
      </c>
      <c r="L14" s="24"/>
      <c r="M14" s="25"/>
      <c r="N14" s="27" t="str">
        <f aca="true">IF($J14="Blocked","Red",IF($I14&lt;&gt;"",IF(OR($H14="",$I14&lt;=$H14),"Green","Amber"),IF($H14="","-",IF($H14&lt;TODAY(),"Red",IF($H14&lt;=TODAY()+7,"Amber","Green")))))</f>
        <v>Green</v>
      </c>
      <c r="O14" s="24"/>
    </row>
    <row r="15" customFormat="false" ht="30" hidden="false" customHeight="true" outlineLevel="0" collapsed="false">
      <c r="A15" s="28" t="n">
        <v>14</v>
      </c>
      <c r="B15" s="29" t="s">
        <v>126</v>
      </c>
      <c r="C15" s="29" t="s">
        <v>92</v>
      </c>
      <c r="D15" s="29"/>
      <c r="E15" s="29"/>
      <c r="F15" s="28" t="s">
        <v>102</v>
      </c>
      <c r="G15" s="30"/>
      <c r="H15" s="30" t="n">
        <v>46360</v>
      </c>
      <c r="I15" s="30"/>
      <c r="J15" s="28" t="s">
        <v>83</v>
      </c>
      <c r="K15" s="31" t="str">
        <f aca="false">IF(COUNTIF('Sub-Tasks'!$A$2:$A$200,$B15)=0,"",ROUND(COUNTIFS('Sub-Tasks'!$A$2:$A$200,$B15,'Sub-Tasks'!$F$2:$F$200,"Completed")/COUNTIF('Sub-Tasks'!$A$2:$A$200,$B15)*100,0))</f>
        <v/>
      </c>
      <c r="L15" s="29"/>
      <c r="M15" s="30"/>
      <c r="N15" s="32" t="str">
        <f aca="true">IF($J15="Blocked","Red",IF($I15&lt;&gt;"",IF(OR($H15="",$I15&lt;=$H15),"Green","Amber"),IF($H15="","-",IF($H15&lt;TODAY(),"Red",IF($H15&lt;=TODAY()+7,"Amber","Green")))))</f>
        <v>Green</v>
      </c>
      <c r="O15" s="29"/>
    </row>
    <row r="16" customFormat="false" ht="30" hidden="false" customHeight="true" outlineLevel="0" collapsed="false">
      <c r="A16" s="23" t="n">
        <v>15</v>
      </c>
      <c r="B16" s="24" t="s">
        <v>127</v>
      </c>
      <c r="C16" s="24" t="s">
        <v>93</v>
      </c>
      <c r="D16" s="24"/>
      <c r="E16" s="24"/>
      <c r="F16" s="23" t="s">
        <v>102</v>
      </c>
      <c r="G16" s="25"/>
      <c r="H16" s="25" t="n">
        <v>46372</v>
      </c>
      <c r="I16" s="25"/>
      <c r="J16" s="23" t="s">
        <v>83</v>
      </c>
      <c r="K16" s="26" t="str">
        <f aca="false">IF(COUNTIF('Sub-Tasks'!$A$2:$A$200,$B16)=0,"",ROUND(COUNTIFS('Sub-Tasks'!$A$2:$A$200,$B16,'Sub-Tasks'!$F$2:$F$200,"Completed")/COUNTIF('Sub-Tasks'!$A$2:$A$200,$B16)*100,0))</f>
        <v/>
      </c>
      <c r="L16" s="24"/>
      <c r="M16" s="25"/>
      <c r="N16" s="27" t="str">
        <f aca="true">IF($J16="Blocked","Red",IF($I16&lt;&gt;"",IF(OR($H16="",$I16&lt;=$H16),"Green","Amber"),IF($H16="","-",IF($H16&lt;TODAY(),"Red",IF($H16&lt;=TODAY()+7,"Amber","Green")))))</f>
        <v>Green</v>
      </c>
      <c r="O16" s="24"/>
    </row>
    <row r="17" customFormat="false" ht="30" hidden="false" customHeight="true" outlineLevel="0" collapsed="false">
      <c r="A17" s="28" t="n">
        <v>16</v>
      </c>
      <c r="B17" s="29" t="s">
        <v>128</v>
      </c>
      <c r="C17" s="29" t="s">
        <v>94</v>
      </c>
      <c r="D17" s="29"/>
      <c r="E17" s="29"/>
      <c r="F17" s="28" t="s">
        <v>102</v>
      </c>
      <c r="G17" s="30"/>
      <c r="H17" s="30" t="n">
        <v>46379</v>
      </c>
      <c r="I17" s="30"/>
      <c r="J17" s="28" t="s">
        <v>83</v>
      </c>
      <c r="K17" s="31" t="str">
        <f aca="false">IF(COUNTIF('Sub-Tasks'!$A$2:$A$200,$B17)=0,"",ROUND(COUNTIFS('Sub-Tasks'!$A$2:$A$200,$B17,'Sub-Tasks'!$F$2:$F$200,"Completed")/COUNTIF('Sub-Tasks'!$A$2:$A$200,$B17)*100,0))</f>
        <v/>
      </c>
      <c r="L17" s="29"/>
      <c r="M17" s="30"/>
      <c r="N17" s="32" t="str">
        <f aca="true">IF($J17="Blocked","Red",IF($I17&lt;&gt;"",IF(OR($H17="",$I17&lt;=$H17),"Green","Amber"),IF($H17="","-",IF($H17&lt;TODAY(),"Red",IF($H17&lt;=TODAY()+7,"Amber","Green")))))</f>
        <v>Green</v>
      </c>
      <c r="O17" s="29"/>
    </row>
    <row r="18" customFormat="false" ht="30" hidden="false" customHeight="true" outlineLevel="0" collapsed="false">
      <c r="A18" s="23" t="n">
        <v>17</v>
      </c>
      <c r="B18" s="24" t="s">
        <v>129</v>
      </c>
      <c r="C18" s="24" t="s">
        <v>94</v>
      </c>
      <c r="D18" s="24"/>
      <c r="E18" s="24"/>
      <c r="F18" s="23" t="s">
        <v>102</v>
      </c>
      <c r="G18" s="25"/>
      <c r="H18" s="25" t="n">
        <v>46393</v>
      </c>
      <c r="I18" s="25"/>
      <c r="J18" s="23" t="s">
        <v>83</v>
      </c>
      <c r="K18" s="26" t="str">
        <f aca="false">IF(COUNTIF('Sub-Tasks'!$A$2:$A$200,$B18)=0,"",ROUND(COUNTIFS('Sub-Tasks'!$A$2:$A$200,$B18,'Sub-Tasks'!$F$2:$F$200,"Completed")/COUNTIF('Sub-Tasks'!$A$2:$A$200,$B18)*100,0))</f>
        <v/>
      </c>
      <c r="L18" s="24"/>
      <c r="M18" s="25"/>
      <c r="N18" s="27" t="str">
        <f aca="true">IF($J18="Blocked","Red",IF($I18&lt;&gt;"",IF(OR($H18="",$I18&lt;=$H18),"Green","Amber"),IF($H18="","-",IF($H18&lt;TODAY(),"Red",IF($H18&lt;=TODAY()+7,"Amber","Green")))))</f>
        <v>Green</v>
      </c>
      <c r="O18" s="24"/>
    </row>
    <row r="19" customFormat="false" ht="30" hidden="false" customHeight="true" outlineLevel="0" collapsed="false">
      <c r="A19" s="28" t="n">
        <v>18</v>
      </c>
      <c r="B19" s="29" t="s">
        <v>130</v>
      </c>
      <c r="C19" s="29" t="s">
        <v>95</v>
      </c>
      <c r="D19" s="29"/>
      <c r="E19" s="29"/>
      <c r="F19" s="28" t="s">
        <v>105</v>
      </c>
      <c r="G19" s="30"/>
      <c r="H19" s="30" t="n">
        <v>46407</v>
      </c>
      <c r="I19" s="30"/>
      <c r="J19" s="28" t="s">
        <v>83</v>
      </c>
      <c r="K19" s="31" t="str">
        <f aca="false">IF(COUNTIF('Sub-Tasks'!$A$2:$A$200,$B19)=0,"",ROUND(COUNTIFS('Sub-Tasks'!$A$2:$A$200,$B19,'Sub-Tasks'!$F$2:$F$200,"Completed")/COUNTIF('Sub-Tasks'!$A$2:$A$200,$B19)*100,0))</f>
        <v/>
      </c>
      <c r="L19" s="29"/>
      <c r="M19" s="30"/>
      <c r="N19" s="32" t="str">
        <f aca="true">IF($J19="Blocked","Red",IF($I19&lt;&gt;"",IF(OR($H19="",$I19&lt;=$H19),"Green","Amber"),IF($H19="","-",IF($H19&lt;TODAY(),"Red",IF($H19&lt;=TODAY()+7,"Amber","Green")))))</f>
        <v>Green</v>
      </c>
      <c r="O19" s="29"/>
    </row>
    <row r="20" customFormat="false" ht="30" hidden="false" customHeight="true" outlineLevel="0" collapsed="false">
      <c r="A20" s="23"/>
      <c r="B20" s="24"/>
      <c r="C20" s="24"/>
      <c r="D20" s="24"/>
      <c r="E20" s="24"/>
      <c r="F20" s="23"/>
      <c r="G20" s="25"/>
      <c r="H20" s="25"/>
      <c r="I20" s="25"/>
      <c r="J20" s="23"/>
      <c r="K20" s="26" t="str">
        <f aca="false">IF(COUNTIF('Sub-Tasks'!$A$2:$A$200,$B20)=0,"",ROUND(COUNTIFS('Sub-Tasks'!$A$2:$A$200,$B20,'Sub-Tasks'!$F$2:$F$200,"Completed")/COUNTIF('Sub-Tasks'!$A$2:$A$200,$B20)*100,0))</f>
        <v/>
      </c>
      <c r="L20" s="24"/>
      <c r="M20" s="25"/>
      <c r="N20" s="27" t="str">
        <f aca="true">IF($J20="Blocked","Red",IF($I20&lt;&gt;"",IF(OR($H20="",$I20&lt;=$H20),"Green","Amber"),IF($H20="","-",IF($H20&lt;TODAY(),"Red",IF($H20&lt;=TODAY()+7,"Amber","Green")))))</f>
        <v>-</v>
      </c>
      <c r="O20" s="24"/>
    </row>
    <row r="21" customFormat="false" ht="30" hidden="false" customHeight="true" outlineLevel="0" collapsed="false">
      <c r="A21" s="28"/>
      <c r="B21" s="29"/>
      <c r="C21" s="29"/>
      <c r="D21" s="29"/>
      <c r="E21" s="29"/>
      <c r="F21" s="28"/>
      <c r="G21" s="30"/>
      <c r="H21" s="30"/>
      <c r="I21" s="30"/>
      <c r="J21" s="28"/>
      <c r="K21" s="31" t="str">
        <f aca="false">IF(COUNTIF('Sub-Tasks'!$A$2:$A$200,$B21)=0,"",ROUND(COUNTIFS('Sub-Tasks'!$A$2:$A$200,$B21,'Sub-Tasks'!$F$2:$F$200,"Completed")/COUNTIF('Sub-Tasks'!$A$2:$A$200,$B21)*100,0))</f>
        <v/>
      </c>
      <c r="L21" s="29"/>
      <c r="M21" s="30"/>
      <c r="N21" s="32" t="str">
        <f aca="true">IF($J21="Blocked","Red",IF($I21&lt;&gt;"",IF(OR($H21="",$I21&lt;=$H21),"Green","Amber"),IF($H21="","-",IF($H21&lt;TODAY(),"Red",IF($H21&lt;=TODAY()+7,"Amber","Green")))))</f>
        <v>-</v>
      </c>
      <c r="O21" s="29"/>
    </row>
    <row r="22" customFormat="false" ht="30" hidden="false" customHeight="true" outlineLevel="0" collapsed="false">
      <c r="A22" s="23"/>
      <c r="B22" s="24"/>
      <c r="C22" s="24"/>
      <c r="D22" s="24"/>
      <c r="E22" s="24"/>
      <c r="F22" s="23"/>
      <c r="G22" s="25"/>
      <c r="H22" s="25"/>
      <c r="I22" s="25"/>
      <c r="J22" s="23"/>
      <c r="K22" s="26" t="str">
        <f aca="false">IF(COUNTIF('Sub-Tasks'!$A$2:$A$200,$B22)=0,"",ROUND(COUNTIFS('Sub-Tasks'!$A$2:$A$200,$B22,'Sub-Tasks'!$F$2:$F$200,"Completed")/COUNTIF('Sub-Tasks'!$A$2:$A$200,$B22)*100,0))</f>
        <v/>
      </c>
      <c r="L22" s="24"/>
      <c r="M22" s="25"/>
      <c r="N22" s="27" t="str">
        <f aca="true">IF($J22="Blocked","Red",IF($I22&lt;&gt;"",IF(OR($H22="",$I22&lt;=$H22),"Green","Amber"),IF($H22="","-",IF($H22&lt;TODAY(),"Red",IF($H22&lt;=TODAY()+7,"Amber","Green")))))</f>
        <v>-</v>
      </c>
      <c r="O22" s="24"/>
    </row>
    <row r="23" customFormat="false" ht="30" hidden="false" customHeight="true" outlineLevel="0" collapsed="false">
      <c r="A23" s="28"/>
      <c r="B23" s="29"/>
      <c r="C23" s="29"/>
      <c r="D23" s="29"/>
      <c r="E23" s="29"/>
      <c r="F23" s="28"/>
      <c r="G23" s="30"/>
      <c r="H23" s="30"/>
      <c r="I23" s="30"/>
      <c r="J23" s="28"/>
      <c r="K23" s="31" t="str">
        <f aca="false">IF(COUNTIF('Sub-Tasks'!$A$2:$A$200,$B23)=0,"",ROUND(COUNTIFS('Sub-Tasks'!$A$2:$A$200,$B23,'Sub-Tasks'!$F$2:$F$200,"Completed")/COUNTIF('Sub-Tasks'!$A$2:$A$200,$B23)*100,0))</f>
        <v/>
      </c>
      <c r="L23" s="29"/>
      <c r="M23" s="30"/>
      <c r="N23" s="32" t="str">
        <f aca="true">IF($J23="Blocked","Red",IF($I23&lt;&gt;"",IF(OR($H23="",$I23&lt;=$H23),"Green","Amber"),IF($H23="","-",IF($H23&lt;TODAY(),"Red",IF($H23&lt;=TODAY()+7,"Amber","Green")))))</f>
        <v>-</v>
      </c>
      <c r="O23" s="29"/>
    </row>
    <row r="24" customFormat="false" ht="30" hidden="false" customHeight="true" outlineLevel="0" collapsed="false">
      <c r="A24" s="23"/>
      <c r="B24" s="24"/>
      <c r="C24" s="24"/>
      <c r="D24" s="24"/>
      <c r="E24" s="24"/>
      <c r="F24" s="23"/>
      <c r="G24" s="25"/>
      <c r="H24" s="25"/>
      <c r="I24" s="25"/>
      <c r="J24" s="23"/>
      <c r="K24" s="26" t="str">
        <f aca="false">IF(COUNTIF('Sub-Tasks'!$A$2:$A$200,$B24)=0,"",ROUND(COUNTIFS('Sub-Tasks'!$A$2:$A$200,$B24,'Sub-Tasks'!$F$2:$F$200,"Completed")/COUNTIF('Sub-Tasks'!$A$2:$A$200,$B24)*100,0))</f>
        <v/>
      </c>
      <c r="L24" s="24"/>
      <c r="M24" s="25"/>
      <c r="N24" s="27" t="str">
        <f aca="true">IF($J24="Blocked","Red",IF($I24&lt;&gt;"",IF(OR($H24="",$I24&lt;=$H24),"Green","Amber"),IF($H24="","-",IF($H24&lt;TODAY(),"Red",IF($H24&lt;=TODAY()+7,"Amber","Green")))))</f>
        <v>-</v>
      </c>
      <c r="O24" s="24"/>
    </row>
    <row r="25" customFormat="false" ht="30" hidden="false" customHeight="true" outlineLevel="0" collapsed="false">
      <c r="A25" s="28"/>
      <c r="B25" s="29"/>
      <c r="C25" s="29"/>
      <c r="D25" s="29"/>
      <c r="E25" s="29"/>
      <c r="F25" s="28"/>
      <c r="G25" s="30"/>
      <c r="H25" s="30"/>
      <c r="I25" s="30"/>
      <c r="J25" s="28"/>
      <c r="K25" s="31" t="str">
        <f aca="false">IF(COUNTIF('Sub-Tasks'!$A$2:$A$200,$B25)=0,"",ROUND(COUNTIFS('Sub-Tasks'!$A$2:$A$200,$B25,'Sub-Tasks'!$F$2:$F$200,"Completed")/COUNTIF('Sub-Tasks'!$A$2:$A$200,$B25)*100,0))</f>
        <v/>
      </c>
      <c r="L25" s="29"/>
      <c r="M25" s="30"/>
      <c r="N25" s="32" t="str">
        <f aca="true">IF($J25="Blocked","Red",IF($I25&lt;&gt;"",IF(OR($H25="",$I25&lt;=$H25),"Green","Amber"),IF($H25="","-",IF($H25&lt;TODAY(),"Red",IF($H25&lt;=TODAY()+7,"Amber","Green")))))</f>
        <v>-</v>
      </c>
      <c r="O25" s="29"/>
    </row>
    <row r="26" customFormat="false" ht="30" hidden="false" customHeight="true" outlineLevel="0" collapsed="false">
      <c r="A26" s="23"/>
      <c r="B26" s="24"/>
      <c r="C26" s="24"/>
      <c r="D26" s="24"/>
      <c r="E26" s="24"/>
      <c r="F26" s="23"/>
      <c r="G26" s="25"/>
      <c r="H26" s="25"/>
      <c r="I26" s="25"/>
      <c r="J26" s="23"/>
      <c r="K26" s="26" t="str">
        <f aca="false">IF(COUNTIF('Sub-Tasks'!$A$2:$A$200,$B26)=0,"",ROUND(COUNTIFS('Sub-Tasks'!$A$2:$A$200,$B26,'Sub-Tasks'!$F$2:$F$200,"Completed")/COUNTIF('Sub-Tasks'!$A$2:$A$200,$B26)*100,0))</f>
        <v/>
      </c>
      <c r="L26" s="24"/>
      <c r="M26" s="25"/>
      <c r="N26" s="27" t="str">
        <f aca="true">IF($J26="Blocked","Red",IF($I26&lt;&gt;"",IF(OR($H26="",$I26&lt;=$H26),"Green","Amber"),IF($H26="","-",IF($H26&lt;TODAY(),"Red",IF($H26&lt;=TODAY()+7,"Amber","Green")))))</f>
        <v>-</v>
      </c>
      <c r="O26" s="24"/>
    </row>
    <row r="27" customFormat="false" ht="30" hidden="false" customHeight="true" outlineLevel="0" collapsed="false">
      <c r="A27" s="28"/>
      <c r="B27" s="29"/>
      <c r="C27" s="29"/>
      <c r="D27" s="29"/>
      <c r="E27" s="29"/>
      <c r="F27" s="28"/>
      <c r="G27" s="30"/>
      <c r="H27" s="30"/>
      <c r="I27" s="30"/>
      <c r="J27" s="28"/>
      <c r="K27" s="31" t="str">
        <f aca="false">IF(COUNTIF('Sub-Tasks'!$A$2:$A$200,$B27)=0,"",ROUND(COUNTIFS('Sub-Tasks'!$A$2:$A$200,$B27,'Sub-Tasks'!$F$2:$F$200,"Completed")/COUNTIF('Sub-Tasks'!$A$2:$A$200,$B27)*100,0))</f>
        <v/>
      </c>
      <c r="L27" s="29"/>
      <c r="M27" s="30"/>
      <c r="N27" s="32" t="str">
        <f aca="true">IF($J27="Blocked","Red",IF($I27&lt;&gt;"",IF(OR($H27="",$I27&lt;=$H27),"Green","Amber"),IF($H27="","-",IF($H27&lt;TODAY(),"Red",IF($H27&lt;=TODAY()+7,"Amber","Green")))))</f>
        <v>-</v>
      </c>
      <c r="O27" s="29"/>
    </row>
    <row r="28" customFormat="false" ht="30" hidden="false" customHeight="true" outlineLevel="0" collapsed="false">
      <c r="A28" s="23"/>
      <c r="B28" s="24"/>
      <c r="C28" s="24"/>
      <c r="D28" s="24"/>
      <c r="E28" s="24"/>
      <c r="F28" s="23"/>
      <c r="G28" s="25"/>
      <c r="H28" s="25"/>
      <c r="I28" s="25"/>
      <c r="J28" s="23"/>
      <c r="K28" s="26" t="str">
        <f aca="false">IF(COUNTIF('Sub-Tasks'!$A$2:$A$200,$B28)=0,"",ROUND(COUNTIFS('Sub-Tasks'!$A$2:$A$200,$B28,'Sub-Tasks'!$F$2:$F$200,"Completed")/COUNTIF('Sub-Tasks'!$A$2:$A$200,$B28)*100,0))</f>
        <v/>
      </c>
      <c r="L28" s="24"/>
      <c r="M28" s="25"/>
      <c r="N28" s="27" t="str">
        <f aca="true">IF($J28="Blocked","Red",IF($I28&lt;&gt;"",IF(OR($H28="",$I28&lt;=$H28),"Green","Amber"),IF($H28="","-",IF($H28&lt;TODAY(),"Red",IF($H28&lt;=TODAY()+7,"Amber","Green")))))</f>
        <v>-</v>
      </c>
      <c r="O28" s="24"/>
    </row>
    <row r="29" customFormat="false" ht="30" hidden="false" customHeight="true" outlineLevel="0" collapsed="false">
      <c r="A29" s="28"/>
      <c r="B29" s="29"/>
      <c r="C29" s="29"/>
      <c r="D29" s="29"/>
      <c r="E29" s="29"/>
      <c r="F29" s="28"/>
      <c r="G29" s="30"/>
      <c r="H29" s="30"/>
      <c r="I29" s="30"/>
      <c r="J29" s="28"/>
      <c r="K29" s="31" t="str">
        <f aca="false">IF(COUNTIF('Sub-Tasks'!$A$2:$A$200,$B29)=0,"",ROUND(COUNTIFS('Sub-Tasks'!$A$2:$A$200,$B29,'Sub-Tasks'!$F$2:$F$200,"Completed")/COUNTIF('Sub-Tasks'!$A$2:$A$200,$B29)*100,0))</f>
        <v/>
      </c>
      <c r="L29" s="29"/>
      <c r="M29" s="30"/>
      <c r="N29" s="32" t="str">
        <f aca="true">IF($J29="Blocked","Red",IF($I29&lt;&gt;"",IF(OR($H29="",$I29&lt;=$H29),"Green","Amber"),IF($H29="","-",IF($H29&lt;TODAY(),"Red",IF($H29&lt;=TODAY()+7,"Amber","Green")))))</f>
        <v>-</v>
      </c>
      <c r="O29" s="29"/>
    </row>
    <row r="30" customFormat="false" ht="30" hidden="false" customHeight="true" outlineLevel="0" collapsed="false">
      <c r="A30" s="23"/>
      <c r="B30" s="24"/>
      <c r="C30" s="24"/>
      <c r="D30" s="24"/>
      <c r="E30" s="24"/>
      <c r="F30" s="23"/>
      <c r="G30" s="25"/>
      <c r="H30" s="25"/>
      <c r="I30" s="25"/>
      <c r="J30" s="23"/>
      <c r="K30" s="26" t="str">
        <f aca="false">IF(COUNTIF('Sub-Tasks'!$A$2:$A$200,$B30)=0,"",ROUND(COUNTIFS('Sub-Tasks'!$A$2:$A$200,$B30,'Sub-Tasks'!$F$2:$F$200,"Completed")/COUNTIF('Sub-Tasks'!$A$2:$A$200,$B30)*100,0))</f>
        <v/>
      </c>
      <c r="L30" s="24"/>
      <c r="M30" s="25"/>
      <c r="N30" s="27" t="str">
        <f aca="true">IF($J30="Blocked","Red",IF($I30&lt;&gt;"",IF(OR($H30="",$I30&lt;=$H30),"Green","Amber"),IF($H30="","-",IF($H30&lt;TODAY(),"Red",IF($H30&lt;=TODAY()+7,"Amber","Green")))))</f>
        <v>-</v>
      </c>
      <c r="O30" s="24"/>
    </row>
    <row r="31" customFormat="false" ht="30" hidden="false" customHeight="true" outlineLevel="0" collapsed="false">
      <c r="A31" s="28"/>
      <c r="B31" s="29"/>
      <c r="C31" s="29"/>
      <c r="D31" s="29"/>
      <c r="E31" s="29"/>
      <c r="F31" s="28"/>
      <c r="G31" s="30"/>
      <c r="H31" s="30"/>
      <c r="I31" s="30"/>
      <c r="J31" s="28"/>
      <c r="K31" s="31" t="str">
        <f aca="false">IF(COUNTIF('Sub-Tasks'!$A$2:$A$200,$B31)=0,"",ROUND(COUNTIFS('Sub-Tasks'!$A$2:$A$200,$B31,'Sub-Tasks'!$F$2:$F$200,"Completed")/COUNTIF('Sub-Tasks'!$A$2:$A$200,$B31)*100,0))</f>
        <v/>
      </c>
      <c r="L31" s="29"/>
      <c r="M31" s="30"/>
      <c r="N31" s="32" t="str">
        <f aca="true">IF($J31="Blocked","Red",IF($I31&lt;&gt;"",IF(OR($H31="",$I31&lt;=$H31),"Green","Amber"),IF($H31="","-",IF($H31&lt;TODAY(),"Red",IF($H31&lt;=TODAY()+7,"Amber","Green")))))</f>
        <v>-</v>
      </c>
      <c r="O31" s="29"/>
    </row>
    <row r="32" customFormat="false" ht="30" hidden="false" customHeight="true" outlineLevel="0" collapsed="false">
      <c r="A32" s="23"/>
      <c r="B32" s="24"/>
      <c r="C32" s="24"/>
      <c r="D32" s="24"/>
      <c r="E32" s="24"/>
      <c r="F32" s="23"/>
      <c r="G32" s="25"/>
      <c r="H32" s="25"/>
      <c r="I32" s="25"/>
      <c r="J32" s="23"/>
      <c r="K32" s="26" t="str">
        <f aca="false">IF(COUNTIF('Sub-Tasks'!$A$2:$A$200,$B32)=0,"",ROUND(COUNTIFS('Sub-Tasks'!$A$2:$A$200,$B32,'Sub-Tasks'!$F$2:$F$200,"Completed")/COUNTIF('Sub-Tasks'!$A$2:$A$200,$B32)*100,0))</f>
        <v/>
      </c>
      <c r="L32" s="24"/>
      <c r="M32" s="25"/>
      <c r="N32" s="27" t="str">
        <f aca="true">IF($J32="Blocked","Red",IF($I32&lt;&gt;"",IF(OR($H32="",$I32&lt;=$H32),"Green","Amber"),IF($H32="","-",IF($H32&lt;TODAY(),"Red",IF($H32&lt;=TODAY()+7,"Amber","Green")))))</f>
        <v>-</v>
      </c>
      <c r="O32" s="24"/>
    </row>
    <row r="33" customFormat="false" ht="30" hidden="false" customHeight="true" outlineLevel="0" collapsed="false">
      <c r="A33" s="28"/>
      <c r="B33" s="29"/>
      <c r="C33" s="29"/>
      <c r="D33" s="29"/>
      <c r="E33" s="29"/>
      <c r="F33" s="28"/>
      <c r="G33" s="30"/>
      <c r="H33" s="30"/>
      <c r="I33" s="30"/>
      <c r="J33" s="28"/>
      <c r="K33" s="31" t="str">
        <f aca="false">IF(COUNTIF('Sub-Tasks'!$A$2:$A$200,$B33)=0,"",ROUND(COUNTIFS('Sub-Tasks'!$A$2:$A$200,$B33,'Sub-Tasks'!$F$2:$F$200,"Completed")/COUNTIF('Sub-Tasks'!$A$2:$A$200,$B33)*100,0))</f>
        <v/>
      </c>
      <c r="L33" s="29"/>
      <c r="M33" s="30"/>
      <c r="N33" s="32" t="str">
        <f aca="true">IF($J33="Blocked","Red",IF($I33&lt;&gt;"",IF(OR($H33="",$I33&lt;=$H33),"Green","Amber"),IF($H33="","-",IF($H33&lt;TODAY(),"Red",IF($H33&lt;=TODAY()+7,"Amber","Green")))))</f>
        <v>-</v>
      </c>
      <c r="O33" s="29"/>
    </row>
    <row r="34" customFormat="false" ht="30" hidden="false" customHeight="true" outlineLevel="0" collapsed="false">
      <c r="A34" s="23"/>
      <c r="B34" s="24"/>
      <c r="C34" s="24"/>
      <c r="D34" s="24"/>
      <c r="E34" s="24"/>
      <c r="F34" s="23"/>
      <c r="G34" s="25"/>
      <c r="H34" s="25"/>
      <c r="I34" s="25"/>
      <c r="J34" s="23"/>
      <c r="K34" s="26" t="str">
        <f aca="false">IF(COUNTIF('Sub-Tasks'!$A$2:$A$200,$B34)=0,"",ROUND(COUNTIFS('Sub-Tasks'!$A$2:$A$200,$B34,'Sub-Tasks'!$F$2:$F$200,"Completed")/COUNTIF('Sub-Tasks'!$A$2:$A$200,$B34)*100,0))</f>
        <v/>
      </c>
      <c r="L34" s="24"/>
      <c r="M34" s="25"/>
      <c r="N34" s="27" t="str">
        <f aca="true">IF($J34="Blocked","Red",IF($I34&lt;&gt;"",IF(OR($H34="",$I34&lt;=$H34),"Green","Amber"),IF($H34="","-",IF($H34&lt;TODAY(),"Red",IF($H34&lt;=TODAY()+7,"Amber","Green")))))</f>
        <v>-</v>
      </c>
      <c r="O34" s="24"/>
    </row>
    <row r="35" customFormat="false" ht="30" hidden="false" customHeight="true" outlineLevel="0" collapsed="false">
      <c r="K35" s="33" t="str">
        <f aca="false">IF(COUNTIF('Sub-Tasks'!$A$2:$A$200,$B35)=0,"",ROUND(COUNTIFS('Sub-Tasks'!$A$2:$A$200,$B35,'Sub-Tasks'!$F$2:$F$200,"Completed")/COUNTIF('Sub-Tasks'!$A$2:$A$200,$B35)*100,0))</f>
        <v/>
      </c>
      <c r="M35" s="30"/>
      <c r="N35" s="32" t="str">
        <f aca="true">IF($J35="Blocked","Red",IF($I35&lt;&gt;"",IF(OR($H35="",$I35&lt;=$H35),"Green","Amber"),IF($H35="","-",IF($H35&lt;TODAY(),"Red",IF($H35&lt;=TODAY()+7,"Amber","Green")))))</f>
        <v>-</v>
      </c>
      <c r="O35" s="29"/>
    </row>
  </sheetData>
  <conditionalFormatting sqref="J2:J34">
    <cfRule type="expression" priority="2" aboveAverage="0" equalAverage="0" bottom="0" percent="0" rank="0" text="" dxfId="0">
      <formula>J2="Completed"</formula>
    </cfRule>
    <cfRule type="expression" priority="3" aboveAverage="0" equalAverage="0" bottom="0" percent="0" rank="0" text="" dxfId="1">
      <formula>OR(J2="Delayed",J2="Blocked")</formula>
    </cfRule>
    <cfRule type="expression" priority="4" aboveAverage="0" equalAverage="0" bottom="0" percent="0" rank="0" text="" dxfId="2">
      <formula>J2="In Progress"</formula>
    </cfRule>
  </conditionalFormatting>
  <conditionalFormatting sqref="A2:L34">
    <cfRule type="expression" priority="5" aboveAverage="0" equalAverage="0" bottom="0" percent="0" rank="0" text="" dxfId="1">
      <formula>AND($H2&lt;&gt;"",$H2&lt;TODAY(),$I2="",$J2&lt;&gt;"Completed")</formula>
    </cfRule>
  </conditionalFormatting>
  <conditionalFormatting sqref="M2:M35">
    <cfRule type="expression" priority="6" aboveAverage="0" equalAverage="0" bottom="0" percent="0" rank="0" text="" dxfId="2">
      <formula>AND($M2&lt;&gt;"",TODAY()-$M2&gt;6)</formula>
    </cfRule>
  </conditionalFormatting>
  <conditionalFormatting sqref="N2:N35">
    <cfRule type="expression" priority="7" aboveAverage="0" equalAverage="0" bottom="0" percent="0" rank="0" text="" dxfId="1">
      <formula>N2="Red"</formula>
    </cfRule>
    <cfRule type="expression" priority="8" aboveAverage="0" equalAverage="0" bottom="0" percent="0" rank="0" text="" dxfId="2">
      <formula>N2="Amber"</formula>
    </cfRule>
    <cfRule type="expression" priority="9" aboveAverage="0" equalAverage="0" bottom="0" percent="0" rank="0" text="" dxfId="0">
      <formula>N2="Green"</formula>
    </cfRule>
    <cfRule type="expression" priority="10" aboveAverage="0" equalAverage="0" bottom="0" percent="0" rank="0" text="" dxfId="3">
      <formula>N2="-"</formula>
    </cfRule>
  </conditionalFormatting>
  <dataValidations count="3">
    <dataValidation allowBlank="true" errorStyle="stop" operator="between" showDropDown="false" showErrorMessage="false" showInputMessage="false" sqref="C2:C34" type="list">
      <formula1>"Access &amp; Governance,Infra Build,Bot Platform,Development,Testing,Security,UAT,Deployment,Handover"</formula1>
      <formula2>0</formula2>
    </dataValidation>
    <dataValidation allowBlank="true" errorStyle="stop" operator="between" showDropDown="false" showErrorMessage="false" showInputMessage="false" sqref="F2:F34" type="list">
      <formula1>"High,Medium,Low"</formula1>
      <formula2>0</formula2>
    </dataValidation>
    <dataValidation allowBlank="true" errorStyle="stop" operator="between" showDropDown="false" showErrorMessage="false" showInputMessage="false" sqref="J2:J34" type="list">
      <formula1>"Not Started,In Progress,Completed,Blocked,Delayed"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6" min="5" style="1" width="28"/>
    <col collapsed="false" customWidth="true" hidden="false" outlineLevel="0" max="7" min="7" style="1" width="15"/>
  </cols>
  <sheetData>
    <row r="1" customFormat="false" ht="30" hidden="false" customHeight="true" outlineLevel="0" collapsed="false">
      <c r="A1" s="34" t="s">
        <v>131</v>
      </c>
      <c r="B1" s="34" t="s">
        <v>132</v>
      </c>
      <c r="C1" s="34" t="s">
        <v>133</v>
      </c>
      <c r="D1" s="34" t="s">
        <v>134</v>
      </c>
      <c r="E1" s="34" t="s">
        <v>135</v>
      </c>
      <c r="F1" s="34" t="s">
        <v>136</v>
      </c>
      <c r="G1" s="34" t="s">
        <v>137</v>
      </c>
    </row>
    <row r="2" customFormat="false" ht="33.75" hidden="false" customHeight="true" outlineLevel="0" collapsed="false">
      <c r="A2" s="25"/>
      <c r="B2" s="24"/>
      <c r="C2" s="23"/>
      <c r="D2" s="24"/>
      <c r="E2" s="24"/>
      <c r="F2" s="24"/>
      <c r="G2" s="25"/>
    </row>
    <row r="3" customFormat="false" ht="33.75" hidden="false" customHeight="true" outlineLevel="0" collapsed="false">
      <c r="A3" s="30"/>
      <c r="B3" s="29"/>
      <c r="C3" s="28"/>
      <c r="D3" s="29"/>
      <c r="E3" s="29"/>
      <c r="F3" s="29"/>
      <c r="G3" s="30"/>
    </row>
    <row r="4" customFormat="false" ht="33.75" hidden="false" customHeight="true" outlineLevel="0" collapsed="false">
      <c r="A4" s="25"/>
      <c r="B4" s="24"/>
      <c r="C4" s="23"/>
      <c r="D4" s="24"/>
      <c r="E4" s="24"/>
      <c r="F4" s="24"/>
      <c r="G4" s="25"/>
    </row>
    <row r="5" customFormat="false" ht="33.75" hidden="false" customHeight="true" outlineLevel="0" collapsed="false">
      <c r="A5" s="30"/>
      <c r="B5" s="29"/>
      <c r="C5" s="28"/>
      <c r="D5" s="29"/>
      <c r="E5" s="29"/>
      <c r="F5" s="29"/>
      <c r="G5" s="30"/>
    </row>
    <row r="6" customFormat="false" ht="33.75" hidden="false" customHeight="true" outlineLevel="0" collapsed="false">
      <c r="A6" s="25"/>
      <c r="B6" s="24"/>
      <c r="C6" s="23"/>
      <c r="D6" s="24"/>
      <c r="E6" s="24"/>
      <c r="F6" s="24"/>
      <c r="G6" s="25"/>
    </row>
    <row r="7" customFormat="false" ht="33.75" hidden="false" customHeight="true" outlineLevel="0" collapsed="false">
      <c r="A7" s="30"/>
      <c r="B7" s="29"/>
      <c r="C7" s="28"/>
      <c r="D7" s="29"/>
      <c r="E7" s="29"/>
      <c r="F7" s="29"/>
      <c r="G7" s="30"/>
    </row>
    <row r="8" customFormat="false" ht="33.75" hidden="false" customHeight="true" outlineLevel="0" collapsed="false">
      <c r="A8" s="25"/>
      <c r="B8" s="24"/>
      <c r="C8" s="23"/>
      <c r="D8" s="24"/>
      <c r="E8" s="24"/>
      <c r="F8" s="24"/>
      <c r="G8" s="25"/>
    </row>
    <row r="9" customFormat="false" ht="33.75" hidden="false" customHeight="true" outlineLevel="0" collapsed="false">
      <c r="A9" s="30"/>
      <c r="B9" s="29"/>
      <c r="C9" s="28"/>
      <c r="D9" s="29"/>
      <c r="E9" s="29"/>
      <c r="F9" s="29"/>
      <c r="G9" s="30"/>
    </row>
    <row r="10" customFormat="false" ht="33.75" hidden="false" customHeight="true" outlineLevel="0" collapsed="false">
      <c r="A10" s="25"/>
      <c r="B10" s="24"/>
      <c r="C10" s="23"/>
      <c r="D10" s="24"/>
      <c r="E10" s="24"/>
      <c r="F10" s="24"/>
      <c r="G10" s="25"/>
    </row>
    <row r="11" customFormat="false" ht="33.75" hidden="false" customHeight="true" outlineLevel="0" collapsed="false">
      <c r="A11" s="30"/>
      <c r="B11" s="29"/>
      <c r="C11" s="28"/>
      <c r="D11" s="29"/>
      <c r="E11" s="29"/>
      <c r="F11" s="29"/>
      <c r="G11" s="30"/>
    </row>
    <row r="12" customFormat="false" ht="33.75" hidden="false" customHeight="true" outlineLevel="0" collapsed="false">
      <c r="A12" s="25"/>
      <c r="B12" s="24"/>
      <c r="C12" s="23"/>
      <c r="D12" s="24"/>
      <c r="E12" s="24"/>
      <c r="F12" s="24"/>
      <c r="G12" s="25"/>
    </row>
    <row r="13" customFormat="false" ht="33.75" hidden="false" customHeight="true" outlineLevel="0" collapsed="false">
      <c r="A13" s="30"/>
      <c r="B13" s="29"/>
      <c r="C13" s="28"/>
      <c r="D13" s="29"/>
      <c r="E13" s="29"/>
      <c r="F13" s="29"/>
      <c r="G13" s="30"/>
    </row>
    <row r="14" customFormat="false" ht="33.75" hidden="false" customHeight="true" outlineLevel="0" collapsed="false">
      <c r="A14" s="25"/>
      <c r="B14" s="24"/>
      <c r="C14" s="23"/>
      <c r="D14" s="24"/>
      <c r="E14" s="24"/>
      <c r="F14" s="24"/>
      <c r="G14" s="25"/>
    </row>
    <row r="15" customFormat="false" ht="33.75" hidden="false" customHeight="true" outlineLevel="0" collapsed="false">
      <c r="A15" s="30"/>
      <c r="B15" s="29"/>
      <c r="C15" s="28"/>
      <c r="D15" s="29"/>
      <c r="E15" s="29"/>
      <c r="F15" s="29"/>
      <c r="G15" s="30"/>
    </row>
    <row r="16" customFormat="false" ht="33.75" hidden="false" customHeight="true" outlineLevel="0" collapsed="false">
      <c r="A16" s="25"/>
      <c r="B16" s="24"/>
      <c r="C16" s="23"/>
      <c r="D16" s="24"/>
      <c r="E16" s="24"/>
      <c r="F16" s="24"/>
      <c r="G16" s="25"/>
    </row>
    <row r="17" customFormat="false" ht="33.75" hidden="false" customHeight="true" outlineLevel="0" collapsed="false">
      <c r="A17" s="30"/>
      <c r="B17" s="29"/>
      <c r="C17" s="28"/>
      <c r="D17" s="29"/>
      <c r="E17" s="29"/>
      <c r="F17" s="29"/>
      <c r="G17" s="30"/>
    </row>
    <row r="18" customFormat="false" ht="33.75" hidden="false" customHeight="true" outlineLevel="0" collapsed="false">
      <c r="A18" s="25"/>
      <c r="B18" s="24"/>
      <c r="C18" s="23"/>
      <c r="D18" s="24"/>
      <c r="E18" s="24"/>
      <c r="F18" s="24"/>
      <c r="G18" s="25"/>
    </row>
    <row r="19" customFormat="false" ht="33.75" hidden="false" customHeight="true" outlineLevel="0" collapsed="false">
      <c r="A19" s="30"/>
      <c r="B19" s="29"/>
      <c r="C19" s="28"/>
      <c r="D19" s="29"/>
      <c r="E19" s="29"/>
      <c r="F19" s="29"/>
      <c r="G19" s="30"/>
    </row>
    <row r="20" customFormat="false" ht="33.75" hidden="false" customHeight="true" outlineLevel="0" collapsed="false">
      <c r="A20" s="25"/>
      <c r="B20" s="24"/>
      <c r="C20" s="23"/>
      <c r="D20" s="24"/>
      <c r="E20" s="24"/>
      <c r="F20" s="24"/>
      <c r="G20" s="25"/>
    </row>
    <row r="21" customFormat="false" ht="33.75" hidden="false" customHeight="true" outlineLevel="0" collapsed="false">
      <c r="A21" s="30"/>
      <c r="B21" s="29"/>
      <c r="C21" s="28"/>
      <c r="D21" s="29"/>
      <c r="E21" s="29"/>
      <c r="F21" s="29"/>
      <c r="G21" s="30"/>
    </row>
    <row r="22" customFormat="false" ht="33.75" hidden="false" customHeight="true" outlineLevel="0" collapsed="false">
      <c r="A22" s="25"/>
      <c r="B22" s="24"/>
      <c r="C22" s="23"/>
      <c r="D22" s="24"/>
      <c r="E22" s="24"/>
      <c r="F22" s="24"/>
      <c r="G22" s="25"/>
    </row>
    <row r="23" customFormat="false" ht="33.75" hidden="false" customHeight="true" outlineLevel="0" collapsed="false">
      <c r="A23" s="30"/>
      <c r="B23" s="29"/>
      <c r="C23" s="28"/>
      <c r="D23" s="29"/>
      <c r="E23" s="29"/>
      <c r="F23" s="29"/>
      <c r="G23" s="30"/>
    </row>
    <row r="24" customFormat="false" ht="33.75" hidden="false" customHeight="true" outlineLevel="0" collapsed="false">
      <c r="A24" s="25"/>
      <c r="B24" s="24"/>
      <c r="C24" s="23"/>
      <c r="D24" s="24"/>
      <c r="E24" s="24"/>
      <c r="F24" s="24"/>
      <c r="G24" s="25"/>
    </row>
    <row r="25" customFormat="false" ht="33.75" hidden="false" customHeight="true" outlineLevel="0" collapsed="false">
      <c r="A25" s="30"/>
      <c r="B25" s="29"/>
      <c r="C25" s="28"/>
      <c r="D25" s="29"/>
      <c r="E25" s="29"/>
      <c r="F25" s="29"/>
      <c r="G25" s="30"/>
    </row>
    <row r="26" customFormat="false" ht="33.75" hidden="false" customHeight="true" outlineLevel="0" collapsed="false">
      <c r="A26" s="25"/>
      <c r="B26" s="24"/>
      <c r="C26" s="23"/>
      <c r="D26" s="24"/>
      <c r="E26" s="24"/>
      <c r="F26" s="24"/>
      <c r="G26" s="25"/>
    </row>
    <row r="27" customFormat="false" ht="33.75" hidden="false" customHeight="true" outlineLevel="0" collapsed="false">
      <c r="A27" s="30"/>
      <c r="B27" s="29"/>
      <c r="C27" s="28"/>
      <c r="D27" s="29"/>
      <c r="E27" s="29"/>
      <c r="F27" s="29"/>
      <c r="G27" s="30"/>
    </row>
    <row r="28" customFormat="false" ht="33.75" hidden="false" customHeight="true" outlineLevel="0" collapsed="false">
      <c r="A28" s="25"/>
      <c r="B28" s="24"/>
      <c r="C28" s="23"/>
      <c r="D28" s="24"/>
      <c r="E28" s="24"/>
      <c r="F28" s="24"/>
      <c r="G28" s="25"/>
    </row>
    <row r="29" customFormat="false" ht="33.75" hidden="false" customHeight="true" outlineLevel="0" collapsed="false">
      <c r="A29" s="30"/>
      <c r="B29" s="29"/>
      <c r="C29" s="28"/>
      <c r="D29" s="29"/>
      <c r="E29" s="29"/>
      <c r="F29" s="29"/>
      <c r="G29" s="30"/>
    </row>
    <row r="30" customFormat="false" ht="33.75" hidden="false" customHeight="true" outlineLevel="0" collapsed="false">
      <c r="A30" s="25"/>
      <c r="B30" s="24"/>
      <c r="C30" s="23"/>
      <c r="D30" s="24"/>
      <c r="E30" s="24"/>
      <c r="F30" s="24"/>
      <c r="G30" s="25"/>
    </row>
    <row r="31" customFormat="false" ht="33.75" hidden="false" customHeight="true" outlineLevel="0" collapsed="false">
      <c r="A31" s="30"/>
      <c r="B31" s="29"/>
      <c r="C31" s="28"/>
      <c r="D31" s="29"/>
      <c r="E31" s="29"/>
      <c r="F31" s="29"/>
      <c r="G31" s="30"/>
    </row>
    <row r="32" customFormat="false" ht="33.75" hidden="false" customHeight="true" outlineLevel="0" collapsed="false">
      <c r="A32" s="25"/>
      <c r="B32" s="24"/>
      <c r="C32" s="23"/>
      <c r="D32" s="24"/>
      <c r="E32" s="24"/>
      <c r="F32" s="24"/>
      <c r="G32" s="25"/>
    </row>
    <row r="33" customFormat="false" ht="33.75" hidden="false" customHeight="true" outlineLevel="0" collapsed="false">
      <c r="A33" s="30"/>
      <c r="B33" s="29"/>
      <c r="C33" s="28"/>
      <c r="D33" s="29"/>
      <c r="E33" s="29"/>
      <c r="F33" s="29"/>
      <c r="G33" s="30"/>
    </row>
    <row r="34" customFormat="false" ht="33.75" hidden="false" customHeight="true" outlineLevel="0" collapsed="false">
      <c r="A34" s="25"/>
      <c r="B34" s="24"/>
      <c r="C34" s="23"/>
      <c r="D34" s="24"/>
      <c r="E34" s="24"/>
      <c r="F34" s="24"/>
      <c r="G34" s="25"/>
    </row>
    <row r="35" customFormat="false" ht="33.75" hidden="false" customHeight="true" outlineLevel="0" collapsed="false">
      <c r="A35" s="30"/>
      <c r="B35" s="29"/>
      <c r="C35" s="28"/>
      <c r="D35" s="29"/>
      <c r="E35" s="29"/>
      <c r="F35" s="29"/>
      <c r="G35" s="30"/>
    </row>
    <row r="36" customFormat="false" ht="33.75" hidden="false" customHeight="true" outlineLevel="0" collapsed="false">
      <c r="A36" s="25"/>
      <c r="B36" s="24"/>
      <c r="C36" s="23"/>
      <c r="D36" s="24"/>
      <c r="E36" s="24"/>
      <c r="F36" s="24"/>
      <c r="G36" s="25"/>
    </row>
    <row r="37" customFormat="false" ht="33.75" hidden="false" customHeight="true" outlineLevel="0" collapsed="false">
      <c r="A37" s="30"/>
      <c r="B37" s="29"/>
      <c r="C37" s="28"/>
      <c r="D37" s="29"/>
      <c r="E37" s="29"/>
      <c r="F37" s="29"/>
      <c r="G37" s="30"/>
    </row>
    <row r="38" customFormat="false" ht="33.75" hidden="false" customHeight="true" outlineLevel="0" collapsed="false">
      <c r="A38" s="25"/>
      <c r="B38" s="24"/>
      <c r="C38" s="23"/>
      <c r="D38" s="24"/>
      <c r="E38" s="24"/>
      <c r="F38" s="24"/>
      <c r="G38" s="25"/>
    </row>
    <row r="39" customFormat="false" ht="33.75" hidden="false" customHeight="true" outlineLevel="0" collapsed="false">
      <c r="A39" s="30"/>
      <c r="B39" s="29"/>
      <c r="C39" s="28"/>
      <c r="D39" s="29"/>
      <c r="E39" s="29"/>
      <c r="F39" s="29"/>
      <c r="G39" s="30"/>
    </row>
    <row r="40" customFormat="false" ht="33.75" hidden="false" customHeight="true" outlineLevel="0" collapsed="false">
      <c r="A40" s="25"/>
      <c r="B40" s="24"/>
      <c r="C40" s="23"/>
      <c r="D40" s="24"/>
      <c r="E40" s="24"/>
      <c r="F40" s="24"/>
      <c r="G40" s="25"/>
    </row>
    <row r="41" customFormat="false" ht="33.75" hidden="false" customHeight="true" outlineLevel="0" collapsed="false">
      <c r="A41" s="30"/>
      <c r="B41" s="29"/>
      <c r="C41" s="28"/>
      <c r="D41" s="29"/>
      <c r="E41" s="29"/>
      <c r="F41" s="29"/>
      <c r="G41" s="30"/>
    </row>
    <row r="44" customFormat="false" ht="15" hidden="false" customHeight="true" outlineLevel="0" collapsed="false">
      <c r="A44" s="8" t="s">
        <v>138</v>
      </c>
      <c r="B44" s="8"/>
      <c r="C44" s="8"/>
      <c r="D44" s="8"/>
      <c r="E44" s="8"/>
      <c r="F44" s="8"/>
      <c r="G44" s="8"/>
    </row>
  </sheetData>
  <mergeCells count="1"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13"/>
    <col collapsed="false" customWidth="true" hidden="false" outlineLevel="0" max="7" min="7" style="1" width="28"/>
  </cols>
  <sheetData>
    <row r="1" customFormat="false" ht="30" hidden="false" customHeight="true" outlineLevel="0" collapsed="false">
      <c r="A1" s="22" t="s">
        <v>10</v>
      </c>
      <c r="B1" s="22" t="s">
        <v>139</v>
      </c>
      <c r="C1" s="22" t="s">
        <v>109</v>
      </c>
      <c r="D1" s="22" t="s">
        <v>20</v>
      </c>
      <c r="E1" s="22" t="s">
        <v>22</v>
      </c>
      <c r="F1" s="22" t="s">
        <v>26</v>
      </c>
      <c r="G1" s="22" t="s">
        <v>140</v>
      </c>
    </row>
    <row r="2" customFormat="false" ht="25.5" hidden="false" customHeight="true" outlineLevel="0" collapsed="false">
      <c r="A2" s="24" t="s">
        <v>113</v>
      </c>
      <c r="B2" s="24" t="s">
        <v>141</v>
      </c>
      <c r="C2" s="24"/>
      <c r="D2" s="25" t="n">
        <v>46213</v>
      </c>
      <c r="E2" s="25" t="n">
        <v>46214</v>
      </c>
      <c r="F2" s="23" t="s">
        <v>75</v>
      </c>
      <c r="G2" s="24"/>
    </row>
    <row r="3" customFormat="false" ht="25.5" hidden="false" customHeight="true" outlineLevel="0" collapsed="false">
      <c r="A3" s="29" t="s">
        <v>113</v>
      </c>
      <c r="B3" s="29" t="s">
        <v>142</v>
      </c>
      <c r="C3" s="29"/>
      <c r="D3" s="30" t="n">
        <v>46214</v>
      </c>
      <c r="E3" s="30" t="n">
        <v>46215</v>
      </c>
      <c r="F3" s="28" t="s">
        <v>75</v>
      </c>
      <c r="G3" s="29"/>
    </row>
    <row r="4" customFormat="false" ht="25.5" hidden="false" customHeight="true" outlineLevel="0" collapsed="false">
      <c r="A4" s="24" t="s">
        <v>113</v>
      </c>
      <c r="B4" s="24" t="s">
        <v>143</v>
      </c>
      <c r="C4" s="24"/>
      <c r="D4" s="25" t="n">
        <v>46215</v>
      </c>
      <c r="E4" s="25" t="n">
        <v>46216</v>
      </c>
      <c r="F4" s="23" t="s">
        <v>85</v>
      </c>
      <c r="G4" s="24"/>
    </row>
    <row r="5" customFormat="false" ht="25.5" hidden="false" customHeight="true" outlineLevel="0" collapsed="false">
      <c r="A5" s="29" t="s">
        <v>113</v>
      </c>
      <c r="B5" s="29" t="s">
        <v>144</v>
      </c>
      <c r="C5" s="29"/>
      <c r="D5" s="30" t="n">
        <v>46216</v>
      </c>
      <c r="E5" s="30" t="n">
        <v>46218</v>
      </c>
      <c r="F5" s="28" t="s">
        <v>83</v>
      </c>
      <c r="G5" s="29"/>
    </row>
    <row r="6" customFormat="false" ht="25.5" hidden="false" customHeight="true" outlineLevel="0" collapsed="false">
      <c r="A6" s="24" t="s">
        <v>114</v>
      </c>
      <c r="B6" s="24" t="s">
        <v>145</v>
      </c>
      <c r="C6" s="24"/>
      <c r="D6" s="25" t="n">
        <v>46219</v>
      </c>
      <c r="E6" s="25" t="n">
        <v>46221</v>
      </c>
      <c r="F6" s="23" t="s">
        <v>83</v>
      </c>
      <c r="G6" s="24"/>
    </row>
    <row r="7" customFormat="false" ht="25.5" hidden="false" customHeight="true" outlineLevel="0" collapsed="false">
      <c r="A7" s="29" t="s">
        <v>114</v>
      </c>
      <c r="B7" s="29" t="s">
        <v>146</v>
      </c>
      <c r="C7" s="29"/>
      <c r="D7" s="30" t="n">
        <v>46221</v>
      </c>
      <c r="E7" s="30" t="n">
        <v>46223</v>
      </c>
      <c r="F7" s="28" t="s">
        <v>83</v>
      </c>
      <c r="G7" s="29"/>
    </row>
    <row r="8" customFormat="false" ht="25.5" hidden="false" customHeight="true" outlineLevel="0" collapsed="false">
      <c r="A8" s="24" t="s">
        <v>114</v>
      </c>
      <c r="B8" s="24" t="s">
        <v>147</v>
      </c>
      <c r="C8" s="24"/>
      <c r="D8" s="25" t="n">
        <v>46223</v>
      </c>
      <c r="E8" s="25" t="n">
        <v>46225</v>
      </c>
      <c r="F8" s="23" t="s">
        <v>83</v>
      </c>
      <c r="G8" s="24"/>
    </row>
    <row r="9" customFormat="false" ht="25.5" hidden="false" customHeight="true" outlineLevel="0" collapsed="false">
      <c r="A9" s="29"/>
      <c r="B9" s="29"/>
      <c r="C9" s="29"/>
      <c r="D9" s="30"/>
      <c r="E9" s="30"/>
      <c r="F9" s="28"/>
      <c r="G9" s="29"/>
    </row>
    <row r="10" customFormat="false" ht="25.5" hidden="false" customHeight="true" outlineLevel="0" collapsed="false">
      <c r="A10" s="24"/>
      <c r="B10" s="24"/>
      <c r="C10" s="24"/>
      <c r="D10" s="25"/>
      <c r="E10" s="25"/>
      <c r="F10" s="23"/>
      <c r="G10" s="24"/>
    </row>
    <row r="11" customFormat="false" ht="25.5" hidden="false" customHeight="true" outlineLevel="0" collapsed="false">
      <c r="A11" s="29"/>
      <c r="B11" s="29"/>
      <c r="C11" s="29"/>
      <c r="D11" s="30"/>
      <c r="E11" s="30"/>
      <c r="F11" s="28"/>
      <c r="G11" s="29"/>
    </row>
    <row r="12" customFormat="false" ht="25.5" hidden="false" customHeight="true" outlineLevel="0" collapsed="false">
      <c r="A12" s="24"/>
      <c r="B12" s="24"/>
      <c r="C12" s="24"/>
      <c r="D12" s="25"/>
      <c r="E12" s="25"/>
      <c r="F12" s="23"/>
      <c r="G12" s="24"/>
    </row>
    <row r="13" customFormat="false" ht="25.5" hidden="false" customHeight="true" outlineLevel="0" collapsed="false">
      <c r="A13" s="29"/>
      <c r="B13" s="29"/>
      <c r="C13" s="29"/>
      <c r="D13" s="30"/>
      <c r="E13" s="30"/>
      <c r="F13" s="28"/>
      <c r="G13" s="29"/>
    </row>
    <row r="14" customFormat="false" ht="25.5" hidden="false" customHeight="true" outlineLevel="0" collapsed="false">
      <c r="A14" s="24"/>
      <c r="B14" s="24"/>
      <c r="C14" s="24"/>
      <c r="D14" s="25"/>
      <c r="E14" s="25"/>
      <c r="F14" s="23"/>
      <c r="G14" s="24"/>
    </row>
    <row r="15" customFormat="false" ht="25.5" hidden="false" customHeight="true" outlineLevel="0" collapsed="false">
      <c r="A15" s="29"/>
      <c r="B15" s="29"/>
      <c r="C15" s="29"/>
      <c r="D15" s="30"/>
      <c r="E15" s="30"/>
      <c r="F15" s="28"/>
      <c r="G15" s="29"/>
    </row>
    <row r="16" customFormat="false" ht="25.5" hidden="false" customHeight="true" outlineLevel="0" collapsed="false">
      <c r="A16" s="24"/>
      <c r="B16" s="24"/>
      <c r="C16" s="24"/>
      <c r="D16" s="25"/>
      <c r="E16" s="25"/>
      <c r="F16" s="23"/>
      <c r="G16" s="24"/>
    </row>
    <row r="17" customFormat="false" ht="25.5" hidden="false" customHeight="true" outlineLevel="0" collapsed="false">
      <c r="A17" s="29"/>
      <c r="B17" s="29"/>
      <c r="C17" s="29"/>
      <c r="D17" s="30"/>
      <c r="E17" s="30"/>
      <c r="F17" s="28"/>
      <c r="G17" s="29"/>
    </row>
    <row r="18" customFormat="false" ht="25.5" hidden="false" customHeight="true" outlineLevel="0" collapsed="false">
      <c r="A18" s="24"/>
      <c r="B18" s="24"/>
      <c r="C18" s="24"/>
      <c r="D18" s="25"/>
      <c r="E18" s="25"/>
      <c r="F18" s="23"/>
      <c r="G18" s="24"/>
    </row>
    <row r="19" customFormat="false" ht="25.5" hidden="false" customHeight="true" outlineLevel="0" collapsed="false">
      <c r="A19" s="29"/>
      <c r="B19" s="29"/>
      <c r="C19" s="29"/>
      <c r="D19" s="30"/>
      <c r="E19" s="30"/>
      <c r="F19" s="28"/>
      <c r="G19" s="29"/>
    </row>
    <row r="20" customFormat="false" ht="25.5" hidden="false" customHeight="true" outlineLevel="0" collapsed="false">
      <c r="A20" s="24"/>
      <c r="B20" s="24"/>
      <c r="C20" s="24"/>
      <c r="D20" s="25"/>
      <c r="E20" s="25"/>
      <c r="F20" s="23"/>
      <c r="G20" s="24"/>
    </row>
    <row r="21" customFormat="false" ht="25.5" hidden="false" customHeight="true" outlineLevel="0" collapsed="false">
      <c r="A21" s="29"/>
      <c r="B21" s="29"/>
      <c r="C21" s="29"/>
      <c r="D21" s="30"/>
      <c r="E21" s="30"/>
      <c r="F21" s="28"/>
      <c r="G21" s="29"/>
    </row>
    <row r="22" customFormat="false" ht="25.5" hidden="false" customHeight="true" outlineLevel="0" collapsed="false">
      <c r="A22" s="24"/>
      <c r="B22" s="24"/>
      <c r="C22" s="24"/>
      <c r="D22" s="25"/>
      <c r="E22" s="25"/>
      <c r="F22" s="23"/>
      <c r="G22" s="24"/>
    </row>
    <row r="23" customFormat="false" ht="25.5" hidden="false" customHeight="true" outlineLevel="0" collapsed="false">
      <c r="A23" s="29"/>
      <c r="B23" s="29"/>
      <c r="C23" s="29"/>
      <c r="D23" s="30"/>
      <c r="E23" s="30"/>
      <c r="F23" s="28"/>
      <c r="G23" s="29"/>
    </row>
    <row r="24" customFormat="false" ht="25.5" hidden="false" customHeight="true" outlineLevel="0" collapsed="false">
      <c r="A24" s="24"/>
      <c r="B24" s="24"/>
      <c r="C24" s="24"/>
      <c r="D24" s="25"/>
      <c r="E24" s="25"/>
      <c r="F24" s="23"/>
      <c r="G24" s="24"/>
    </row>
    <row r="25" customFormat="false" ht="25.5" hidden="false" customHeight="true" outlineLevel="0" collapsed="false">
      <c r="A25" s="29"/>
      <c r="B25" s="29"/>
      <c r="C25" s="29"/>
      <c r="D25" s="30"/>
      <c r="E25" s="30"/>
      <c r="F25" s="28"/>
      <c r="G25" s="29"/>
    </row>
    <row r="26" customFormat="false" ht="25.5" hidden="false" customHeight="true" outlineLevel="0" collapsed="false">
      <c r="A26" s="24"/>
      <c r="B26" s="24"/>
      <c r="C26" s="24"/>
      <c r="D26" s="25"/>
      <c r="E26" s="25"/>
      <c r="F26" s="23"/>
      <c r="G26" s="24"/>
    </row>
    <row r="27" customFormat="false" ht="25.5" hidden="false" customHeight="true" outlineLevel="0" collapsed="false">
      <c r="A27" s="29"/>
      <c r="B27" s="29"/>
      <c r="C27" s="29"/>
      <c r="D27" s="30"/>
      <c r="E27" s="30"/>
      <c r="F27" s="28"/>
      <c r="G27" s="29"/>
    </row>
    <row r="28" customFormat="false" ht="25.5" hidden="false" customHeight="true" outlineLevel="0" collapsed="false">
      <c r="A28" s="24"/>
      <c r="B28" s="24"/>
      <c r="C28" s="24"/>
      <c r="D28" s="25"/>
      <c r="E28" s="25"/>
      <c r="F28" s="23"/>
      <c r="G28" s="24"/>
    </row>
    <row r="29" customFormat="false" ht="25.5" hidden="false" customHeight="true" outlineLevel="0" collapsed="false">
      <c r="A29" s="29"/>
      <c r="B29" s="29"/>
      <c r="C29" s="29"/>
      <c r="D29" s="30"/>
      <c r="E29" s="30"/>
      <c r="F29" s="28"/>
      <c r="G29" s="29"/>
    </row>
    <row r="30" customFormat="false" ht="25.5" hidden="false" customHeight="true" outlineLevel="0" collapsed="false">
      <c r="A30" s="24"/>
      <c r="B30" s="24"/>
      <c r="C30" s="24"/>
      <c r="D30" s="25"/>
      <c r="E30" s="25"/>
      <c r="F30" s="23"/>
      <c r="G30" s="24"/>
    </row>
    <row r="31" customFormat="false" ht="25.5" hidden="false" customHeight="true" outlineLevel="0" collapsed="false">
      <c r="A31" s="29"/>
      <c r="B31" s="29"/>
      <c r="C31" s="29"/>
      <c r="D31" s="30"/>
      <c r="E31" s="30"/>
      <c r="F31" s="28"/>
      <c r="G31" s="29"/>
    </row>
    <row r="32" customFormat="false" ht="25.5" hidden="false" customHeight="true" outlineLevel="0" collapsed="false">
      <c r="A32" s="24"/>
      <c r="B32" s="24"/>
      <c r="C32" s="24"/>
      <c r="D32" s="25"/>
      <c r="E32" s="25"/>
      <c r="F32" s="23"/>
      <c r="G32" s="24"/>
    </row>
    <row r="33" customFormat="false" ht="25.5" hidden="false" customHeight="true" outlineLevel="0" collapsed="false">
      <c r="A33" s="29"/>
      <c r="B33" s="29"/>
      <c r="C33" s="29"/>
      <c r="D33" s="30"/>
      <c r="E33" s="30"/>
      <c r="F33" s="28"/>
      <c r="G33" s="29"/>
    </row>
    <row r="34" customFormat="false" ht="25.5" hidden="false" customHeight="true" outlineLevel="0" collapsed="false">
      <c r="A34" s="24"/>
      <c r="B34" s="24"/>
      <c r="C34" s="24"/>
      <c r="D34" s="25"/>
      <c r="E34" s="25"/>
      <c r="F34" s="23"/>
      <c r="G34" s="24"/>
    </row>
    <row r="35" customFormat="false" ht="25.5" hidden="false" customHeight="true" outlineLevel="0" collapsed="false">
      <c r="A35" s="29"/>
      <c r="B35" s="29"/>
      <c r="C35" s="29"/>
      <c r="D35" s="30"/>
      <c r="E35" s="30"/>
      <c r="F35" s="28"/>
      <c r="G35" s="29"/>
    </row>
    <row r="36" customFormat="false" ht="25.5" hidden="false" customHeight="true" outlineLevel="0" collapsed="false">
      <c r="A36" s="24"/>
      <c r="B36" s="24"/>
      <c r="C36" s="24"/>
      <c r="D36" s="25"/>
      <c r="E36" s="25"/>
      <c r="F36" s="23"/>
      <c r="G36" s="24"/>
    </row>
    <row r="37" customFormat="false" ht="25.5" hidden="false" customHeight="true" outlineLevel="0" collapsed="false">
      <c r="A37" s="29"/>
      <c r="B37" s="29"/>
      <c r="C37" s="29"/>
      <c r="D37" s="30"/>
      <c r="E37" s="30"/>
      <c r="F37" s="28"/>
      <c r="G37" s="29"/>
    </row>
    <row r="38" customFormat="false" ht="25.5" hidden="false" customHeight="true" outlineLevel="0" collapsed="false">
      <c r="A38" s="24"/>
      <c r="B38" s="24"/>
      <c r="C38" s="24"/>
      <c r="D38" s="25"/>
      <c r="E38" s="25"/>
      <c r="F38" s="23"/>
      <c r="G38" s="24"/>
    </row>
    <row r="39" customFormat="false" ht="25.5" hidden="false" customHeight="true" outlineLevel="0" collapsed="false">
      <c r="A39" s="29"/>
      <c r="B39" s="29"/>
      <c r="C39" s="29"/>
      <c r="D39" s="30"/>
      <c r="E39" s="30"/>
      <c r="F39" s="28"/>
      <c r="G39" s="29"/>
    </row>
    <row r="40" customFormat="false" ht="25.5" hidden="false" customHeight="true" outlineLevel="0" collapsed="false">
      <c r="A40" s="24"/>
      <c r="B40" s="24"/>
      <c r="C40" s="24"/>
      <c r="D40" s="25"/>
      <c r="E40" s="25"/>
      <c r="F40" s="23"/>
      <c r="G40" s="24"/>
    </row>
    <row r="41" customFormat="false" ht="25.5" hidden="false" customHeight="true" outlineLevel="0" collapsed="false">
      <c r="A41" s="29"/>
      <c r="B41" s="29"/>
      <c r="C41" s="29"/>
      <c r="D41" s="30"/>
      <c r="E41" s="30"/>
      <c r="F41" s="28"/>
      <c r="G41" s="29"/>
    </row>
    <row r="42" customFormat="false" ht="25.5" hidden="false" customHeight="true" outlineLevel="0" collapsed="false">
      <c r="A42" s="24"/>
      <c r="B42" s="24"/>
      <c r="C42" s="24"/>
      <c r="D42" s="25"/>
      <c r="E42" s="25"/>
      <c r="F42" s="23"/>
      <c r="G42" s="24"/>
    </row>
    <row r="43" customFormat="false" ht="25.5" hidden="false" customHeight="true" outlineLevel="0" collapsed="false">
      <c r="A43" s="29"/>
      <c r="B43" s="29"/>
      <c r="C43" s="29"/>
      <c r="D43" s="30"/>
      <c r="E43" s="30"/>
      <c r="F43" s="28"/>
      <c r="G43" s="29"/>
    </row>
    <row r="44" customFormat="false" ht="25.5" hidden="false" customHeight="true" outlineLevel="0" collapsed="false">
      <c r="A44" s="24"/>
      <c r="B44" s="24"/>
      <c r="C44" s="24"/>
      <c r="D44" s="25"/>
      <c r="E44" s="25"/>
      <c r="F44" s="23"/>
      <c r="G44" s="24"/>
    </row>
    <row r="45" customFormat="false" ht="25.5" hidden="false" customHeight="true" outlineLevel="0" collapsed="false">
      <c r="A45" s="29"/>
      <c r="B45" s="29"/>
      <c r="C45" s="29"/>
      <c r="D45" s="30"/>
      <c r="E45" s="30"/>
      <c r="F45" s="28"/>
      <c r="G45" s="29"/>
    </row>
    <row r="46" customFormat="false" ht="25.5" hidden="false" customHeight="true" outlineLevel="0" collapsed="false">
      <c r="A46" s="24"/>
      <c r="B46" s="24"/>
      <c r="C46" s="24"/>
      <c r="D46" s="25"/>
      <c r="E46" s="25"/>
      <c r="F46" s="23"/>
      <c r="G46" s="24"/>
    </row>
    <row r="47" customFormat="false" ht="25.5" hidden="false" customHeight="true" outlineLevel="0" collapsed="false">
      <c r="A47" s="29"/>
      <c r="B47" s="29"/>
      <c r="C47" s="29"/>
      <c r="D47" s="30"/>
      <c r="E47" s="30"/>
      <c r="F47" s="28"/>
      <c r="G47" s="29"/>
    </row>
    <row r="48" customFormat="false" ht="25.5" hidden="false" customHeight="true" outlineLevel="0" collapsed="false">
      <c r="A48" s="24"/>
      <c r="B48" s="24"/>
      <c r="C48" s="24"/>
      <c r="D48" s="25"/>
      <c r="E48" s="25"/>
      <c r="F48" s="23"/>
      <c r="G48" s="24"/>
    </row>
    <row r="49" customFormat="false" ht="25.5" hidden="false" customHeight="true" outlineLevel="0" collapsed="false">
      <c r="A49" s="29"/>
      <c r="B49" s="29"/>
      <c r="C49" s="29"/>
      <c r="D49" s="30"/>
      <c r="E49" s="30"/>
      <c r="F49" s="28"/>
      <c r="G49" s="29"/>
    </row>
    <row r="50" customFormat="false" ht="25.5" hidden="false" customHeight="true" outlineLevel="0" collapsed="false">
      <c r="A50" s="24"/>
      <c r="B50" s="24"/>
      <c r="C50" s="24"/>
      <c r="D50" s="25"/>
      <c r="E50" s="25"/>
      <c r="F50" s="23"/>
      <c r="G50" s="24"/>
    </row>
    <row r="51" customFormat="false" ht="25.5" hidden="false" customHeight="true" outlineLevel="0" collapsed="false">
      <c r="A51" s="29"/>
      <c r="B51" s="29"/>
      <c r="C51" s="29"/>
      <c r="D51" s="30"/>
      <c r="E51" s="30"/>
      <c r="F51" s="28"/>
      <c r="G51" s="29"/>
    </row>
    <row r="52" customFormat="false" ht="25.5" hidden="false" customHeight="true" outlineLevel="0" collapsed="false">
      <c r="A52" s="24"/>
      <c r="B52" s="24"/>
      <c r="C52" s="24"/>
      <c r="D52" s="25"/>
      <c r="E52" s="25"/>
      <c r="F52" s="23"/>
      <c r="G52" s="24"/>
    </row>
    <row r="53" customFormat="false" ht="25.5" hidden="false" customHeight="true" outlineLevel="0" collapsed="false">
      <c r="A53" s="29"/>
      <c r="B53" s="29"/>
      <c r="C53" s="29"/>
      <c r="D53" s="30"/>
      <c r="E53" s="30"/>
      <c r="F53" s="28"/>
      <c r="G53" s="29"/>
    </row>
    <row r="54" customFormat="false" ht="25.5" hidden="false" customHeight="true" outlineLevel="0" collapsed="false">
      <c r="A54" s="24"/>
      <c r="B54" s="24"/>
      <c r="C54" s="24"/>
      <c r="D54" s="25"/>
      <c r="E54" s="25"/>
      <c r="F54" s="23"/>
      <c r="G54" s="24"/>
    </row>
    <row r="55" customFormat="false" ht="25.5" hidden="false" customHeight="true" outlineLevel="0" collapsed="false">
      <c r="A55" s="29"/>
      <c r="B55" s="29"/>
      <c r="C55" s="29"/>
      <c r="D55" s="30"/>
      <c r="E55" s="30"/>
      <c r="F55" s="28"/>
      <c r="G55" s="29"/>
    </row>
    <row r="56" customFormat="false" ht="25.5" hidden="false" customHeight="true" outlineLevel="0" collapsed="false">
      <c r="A56" s="24"/>
      <c r="B56" s="24"/>
      <c r="C56" s="24"/>
      <c r="D56" s="25"/>
      <c r="E56" s="25"/>
      <c r="F56" s="23"/>
      <c r="G56" s="24"/>
    </row>
    <row r="57" customFormat="false" ht="25.5" hidden="false" customHeight="true" outlineLevel="0" collapsed="false">
      <c r="A57" s="29"/>
      <c r="B57" s="29"/>
      <c r="C57" s="29"/>
      <c r="D57" s="30"/>
      <c r="E57" s="30"/>
      <c r="F57" s="28"/>
      <c r="G57" s="29"/>
    </row>
    <row r="58" customFormat="false" ht="25.5" hidden="false" customHeight="true" outlineLevel="0" collapsed="false">
      <c r="A58" s="24"/>
      <c r="B58" s="24"/>
      <c r="C58" s="24"/>
      <c r="D58" s="25"/>
      <c r="E58" s="25"/>
      <c r="F58" s="23"/>
      <c r="G58" s="24"/>
    </row>
    <row r="59" customFormat="false" ht="25.5" hidden="false" customHeight="true" outlineLevel="0" collapsed="false">
      <c r="A59" s="29"/>
      <c r="B59" s="29"/>
      <c r="C59" s="29"/>
      <c r="D59" s="30"/>
      <c r="E59" s="30"/>
      <c r="F59" s="28"/>
      <c r="G59" s="29"/>
    </row>
    <row r="60" customFormat="false" ht="25.5" hidden="false" customHeight="true" outlineLevel="0" collapsed="false">
      <c r="A60" s="24"/>
      <c r="B60" s="24"/>
      <c r="C60" s="24"/>
      <c r="D60" s="25"/>
      <c r="E60" s="25"/>
      <c r="F60" s="23"/>
      <c r="G60" s="24"/>
    </row>
    <row r="61" customFormat="false" ht="25.5" hidden="false" customHeight="true" outlineLevel="0" collapsed="false">
      <c r="A61" s="29"/>
      <c r="B61" s="29"/>
      <c r="C61" s="29"/>
      <c r="D61" s="30"/>
      <c r="E61" s="30"/>
      <c r="F61" s="28"/>
      <c r="G61" s="29"/>
    </row>
    <row r="62" customFormat="false" ht="25.5" hidden="false" customHeight="true" outlineLevel="0" collapsed="false">
      <c r="A62" s="24"/>
      <c r="B62" s="24"/>
      <c r="C62" s="24"/>
      <c r="D62" s="25"/>
      <c r="E62" s="25"/>
      <c r="F62" s="23"/>
      <c r="G62" s="24"/>
    </row>
    <row r="63" customFormat="false" ht="25.5" hidden="false" customHeight="true" outlineLevel="0" collapsed="false">
      <c r="A63" s="29"/>
      <c r="B63" s="29"/>
      <c r="C63" s="29"/>
      <c r="D63" s="30"/>
      <c r="E63" s="30"/>
      <c r="F63" s="28"/>
      <c r="G63" s="29"/>
    </row>
    <row r="64" customFormat="false" ht="25.5" hidden="false" customHeight="true" outlineLevel="0" collapsed="false">
      <c r="A64" s="24"/>
      <c r="B64" s="24"/>
      <c r="C64" s="24"/>
      <c r="D64" s="25"/>
      <c r="E64" s="25"/>
      <c r="F64" s="23"/>
      <c r="G64" s="24"/>
    </row>
    <row r="65" customFormat="false" ht="25.5" hidden="false" customHeight="true" outlineLevel="0" collapsed="false">
      <c r="A65" s="29"/>
      <c r="B65" s="29"/>
      <c r="C65" s="29"/>
      <c r="D65" s="30"/>
      <c r="E65" s="30"/>
      <c r="F65" s="28"/>
      <c r="G65" s="29"/>
    </row>
    <row r="66" customFormat="false" ht="25.5" hidden="false" customHeight="true" outlineLevel="0" collapsed="false">
      <c r="A66" s="24"/>
      <c r="B66" s="24"/>
      <c r="C66" s="24"/>
      <c r="D66" s="25"/>
      <c r="E66" s="25"/>
      <c r="F66" s="23"/>
      <c r="G66" s="24"/>
    </row>
    <row r="67" customFormat="false" ht="25.5" hidden="false" customHeight="true" outlineLevel="0" collapsed="false">
      <c r="A67" s="29"/>
      <c r="B67" s="29"/>
      <c r="C67" s="29"/>
      <c r="D67" s="30"/>
      <c r="E67" s="30"/>
      <c r="F67" s="28"/>
      <c r="G67" s="29"/>
    </row>
    <row r="68" customFormat="false" ht="25.5" hidden="false" customHeight="true" outlineLevel="0" collapsed="false">
      <c r="A68" s="24"/>
      <c r="B68" s="24"/>
      <c r="C68" s="24"/>
      <c r="D68" s="25"/>
      <c r="E68" s="25"/>
      <c r="F68" s="23"/>
      <c r="G68" s="24"/>
    </row>
    <row r="69" customFormat="false" ht="25.5" hidden="false" customHeight="true" outlineLevel="0" collapsed="false">
      <c r="A69" s="29"/>
      <c r="B69" s="29"/>
      <c r="C69" s="29"/>
      <c r="D69" s="30"/>
      <c r="E69" s="30"/>
      <c r="F69" s="28"/>
      <c r="G69" s="29"/>
    </row>
    <row r="70" customFormat="false" ht="25.5" hidden="false" customHeight="true" outlineLevel="0" collapsed="false">
      <c r="A70" s="24"/>
      <c r="B70" s="24"/>
      <c r="C70" s="24"/>
      <c r="D70" s="25"/>
      <c r="E70" s="25"/>
      <c r="F70" s="23"/>
      <c r="G70" s="24"/>
    </row>
    <row r="71" customFormat="false" ht="25.5" hidden="false" customHeight="true" outlineLevel="0" collapsed="false">
      <c r="A71" s="29"/>
      <c r="B71" s="29"/>
      <c r="C71" s="29"/>
      <c r="D71" s="30"/>
      <c r="E71" s="30"/>
      <c r="F71" s="28"/>
      <c r="G71" s="29"/>
    </row>
    <row r="72" customFormat="false" ht="25.5" hidden="false" customHeight="true" outlineLevel="0" collapsed="false">
      <c r="A72" s="24"/>
      <c r="B72" s="24"/>
      <c r="C72" s="24"/>
      <c r="D72" s="25"/>
      <c r="E72" s="25"/>
      <c r="F72" s="23"/>
      <c r="G72" s="24"/>
    </row>
    <row r="73" customFormat="false" ht="25.5" hidden="false" customHeight="true" outlineLevel="0" collapsed="false">
      <c r="A73" s="29"/>
      <c r="B73" s="29"/>
      <c r="C73" s="29"/>
      <c r="D73" s="30"/>
      <c r="E73" s="30"/>
      <c r="F73" s="28"/>
      <c r="G73" s="29"/>
    </row>
    <row r="74" customFormat="false" ht="25.5" hidden="false" customHeight="true" outlineLevel="0" collapsed="false">
      <c r="A74" s="24"/>
      <c r="B74" s="24"/>
      <c r="C74" s="24"/>
      <c r="D74" s="25"/>
      <c r="E74" s="25"/>
      <c r="F74" s="23"/>
      <c r="G74" s="24"/>
    </row>
    <row r="75" customFormat="false" ht="25.5" hidden="false" customHeight="true" outlineLevel="0" collapsed="false">
      <c r="A75" s="29"/>
      <c r="B75" s="29"/>
      <c r="C75" s="29"/>
      <c r="D75" s="30"/>
      <c r="E75" s="30"/>
      <c r="F75" s="28"/>
      <c r="G75" s="29"/>
    </row>
    <row r="76" customFormat="false" ht="25.5" hidden="false" customHeight="true" outlineLevel="0" collapsed="false">
      <c r="A76" s="24"/>
      <c r="B76" s="24"/>
      <c r="C76" s="24"/>
      <c r="D76" s="25"/>
      <c r="E76" s="25"/>
      <c r="F76" s="23"/>
      <c r="G76" s="24"/>
    </row>
    <row r="77" customFormat="false" ht="25.5" hidden="false" customHeight="true" outlineLevel="0" collapsed="false">
      <c r="A77" s="29"/>
      <c r="B77" s="29"/>
      <c r="C77" s="29"/>
      <c r="D77" s="30"/>
      <c r="E77" s="30"/>
      <c r="F77" s="28"/>
      <c r="G77" s="29"/>
    </row>
    <row r="78" customFormat="false" ht="25.5" hidden="false" customHeight="true" outlineLevel="0" collapsed="false">
      <c r="A78" s="24"/>
      <c r="B78" s="24"/>
      <c r="C78" s="24"/>
      <c r="D78" s="25"/>
      <c r="E78" s="25"/>
      <c r="F78" s="23"/>
      <c r="G78" s="24"/>
    </row>
    <row r="79" customFormat="false" ht="25.5" hidden="false" customHeight="true" outlineLevel="0" collapsed="false">
      <c r="A79" s="29"/>
      <c r="B79" s="29"/>
      <c r="C79" s="29"/>
      <c r="D79" s="30"/>
      <c r="E79" s="30"/>
      <c r="F79" s="28"/>
      <c r="G79" s="29"/>
    </row>
    <row r="80" customFormat="false" ht="25.5" hidden="false" customHeight="true" outlineLevel="0" collapsed="false">
      <c r="A80" s="24"/>
      <c r="B80" s="24"/>
      <c r="C80" s="24"/>
      <c r="D80" s="25"/>
      <c r="E80" s="25"/>
      <c r="F80" s="23"/>
      <c r="G80" s="24"/>
    </row>
    <row r="81" customFormat="false" ht="25.5" hidden="false" customHeight="true" outlineLevel="0" collapsed="false">
      <c r="A81" s="29"/>
      <c r="B81" s="29"/>
      <c r="C81" s="29"/>
      <c r="D81" s="30"/>
      <c r="E81" s="30"/>
      <c r="F81" s="28"/>
      <c r="G81" s="29"/>
    </row>
    <row r="82" customFormat="false" ht="25.5" hidden="false" customHeight="true" outlineLevel="0" collapsed="false">
      <c r="A82" s="24"/>
      <c r="B82" s="24"/>
      <c r="C82" s="24"/>
      <c r="D82" s="25"/>
      <c r="E82" s="25"/>
      <c r="F82" s="23"/>
      <c r="G82" s="24"/>
    </row>
    <row r="83" customFormat="false" ht="25.5" hidden="false" customHeight="true" outlineLevel="0" collapsed="false">
      <c r="A83" s="29"/>
      <c r="B83" s="29"/>
      <c r="C83" s="29"/>
      <c r="D83" s="30"/>
      <c r="E83" s="30"/>
      <c r="F83" s="28"/>
      <c r="G83" s="29"/>
    </row>
    <row r="84" customFormat="false" ht="25.5" hidden="false" customHeight="true" outlineLevel="0" collapsed="false">
      <c r="A84" s="24"/>
      <c r="B84" s="24"/>
      <c r="C84" s="24"/>
      <c r="D84" s="25"/>
      <c r="E84" s="25"/>
      <c r="F84" s="23"/>
      <c r="G84" s="24"/>
    </row>
    <row r="85" customFormat="false" ht="25.5" hidden="false" customHeight="true" outlineLevel="0" collapsed="false">
      <c r="A85" s="29"/>
      <c r="B85" s="29"/>
      <c r="C85" s="29"/>
      <c r="D85" s="30"/>
      <c r="E85" s="30"/>
      <c r="F85" s="28"/>
      <c r="G85" s="29"/>
    </row>
    <row r="86" customFormat="false" ht="25.5" hidden="false" customHeight="true" outlineLevel="0" collapsed="false">
      <c r="A86" s="24"/>
      <c r="B86" s="24"/>
      <c r="C86" s="24"/>
      <c r="D86" s="25"/>
      <c r="E86" s="25"/>
      <c r="F86" s="23"/>
      <c r="G86" s="24"/>
    </row>
    <row r="87" customFormat="false" ht="25.5" hidden="false" customHeight="true" outlineLevel="0" collapsed="false">
      <c r="A87" s="29"/>
      <c r="B87" s="29"/>
      <c r="C87" s="29"/>
      <c r="D87" s="30"/>
      <c r="E87" s="30"/>
      <c r="F87" s="28"/>
      <c r="G87" s="29"/>
    </row>
    <row r="88" customFormat="false" ht="25.5" hidden="false" customHeight="true" outlineLevel="0" collapsed="false">
      <c r="A88" s="24"/>
      <c r="B88" s="24"/>
      <c r="C88" s="24"/>
      <c r="D88" s="25"/>
      <c r="E88" s="25"/>
      <c r="F88" s="23"/>
      <c r="G88" s="24"/>
    </row>
  </sheetData>
  <conditionalFormatting sqref="F2:F88">
    <cfRule type="expression" priority="2" aboveAverage="0" equalAverage="0" bottom="0" percent="0" rank="0" text="" dxfId="0">
      <formula>F2="Completed"</formula>
    </cfRule>
    <cfRule type="expression" priority="3" aboveAverage="0" equalAverage="0" bottom="0" percent="0" rank="0" text="" dxfId="1">
      <formula>F2="Blocked"</formula>
    </cfRule>
    <cfRule type="expression" priority="4" aboveAverage="0" equalAverage="0" bottom="0" percent="0" rank="0" text="" dxfId="2">
      <formula>F2="In Progress"</formula>
    </cfRule>
  </conditionalFormatting>
  <dataValidations count="2">
    <dataValidation allowBlank="true" errorStyle="stop" operator="between" showDropDown="false" showErrorMessage="false" showInputMessage="false" sqref="A2:A88" type="list">
      <formula1>Tracker!$B$2:$B$35</formula1>
      <formula2>0</formula2>
    </dataValidation>
    <dataValidation allowBlank="true" errorStyle="stop" operator="between" showDropDown="false" showErrorMessage="false" showInputMessage="false" sqref="F2:F88" type="list">
      <formula1>"Not Started,In Progress,Completed,Blocked"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32"/>
    <col collapsed="false" customWidth="true" hidden="false" outlineLevel="0" max="4" min="4" style="1" width="26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32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1" min="10" style="1" width="13"/>
  </cols>
  <sheetData>
    <row r="1" customFormat="false" ht="30" hidden="false" customHeight="true" outlineLevel="0" collapsed="false">
      <c r="A1" s="22" t="s">
        <v>148</v>
      </c>
      <c r="B1" s="22" t="s">
        <v>149</v>
      </c>
      <c r="C1" s="22" t="s">
        <v>150</v>
      </c>
      <c r="D1" s="22" t="s">
        <v>151</v>
      </c>
      <c r="E1" s="22" t="s">
        <v>152</v>
      </c>
      <c r="F1" s="22" t="s">
        <v>153</v>
      </c>
      <c r="G1" s="22" t="s">
        <v>154</v>
      </c>
      <c r="H1" s="22" t="s">
        <v>109</v>
      </c>
      <c r="I1" s="22" t="s">
        <v>26</v>
      </c>
      <c r="J1" s="22" t="s">
        <v>155</v>
      </c>
      <c r="K1" s="22" t="s">
        <v>156</v>
      </c>
    </row>
    <row r="2" customFormat="false" ht="30" hidden="false" customHeight="true" outlineLevel="0" collapsed="false">
      <c r="A2" s="23" t="n">
        <v>1</v>
      </c>
      <c r="B2" s="23" t="s">
        <v>157</v>
      </c>
      <c r="C2" s="24" t="s">
        <v>158</v>
      </c>
      <c r="D2" s="24" t="s">
        <v>113</v>
      </c>
      <c r="E2" s="23" t="s">
        <v>102</v>
      </c>
      <c r="F2" s="23" t="s">
        <v>105</v>
      </c>
      <c r="G2" s="24" t="s">
        <v>159</v>
      </c>
      <c r="H2" s="24"/>
      <c r="I2" s="23" t="s">
        <v>160</v>
      </c>
      <c r="J2" s="25" t="n">
        <v>46204</v>
      </c>
      <c r="K2" s="25"/>
    </row>
    <row r="3" customFormat="false" ht="30" hidden="false" customHeight="true" outlineLevel="0" collapsed="false">
      <c r="A3" s="28" t="n">
        <v>2</v>
      </c>
      <c r="B3" s="28" t="s">
        <v>157</v>
      </c>
      <c r="C3" s="29" t="s">
        <v>161</v>
      </c>
      <c r="D3" s="29" t="s">
        <v>118</v>
      </c>
      <c r="E3" s="28" t="s">
        <v>105</v>
      </c>
      <c r="F3" s="28" t="s">
        <v>105</v>
      </c>
      <c r="G3" s="29" t="s">
        <v>162</v>
      </c>
      <c r="H3" s="29"/>
      <c r="I3" s="28" t="s">
        <v>160</v>
      </c>
      <c r="J3" s="30" t="n">
        <v>46204</v>
      </c>
      <c r="K3" s="30"/>
    </row>
    <row r="4" customFormat="false" ht="30" hidden="false" customHeight="true" outlineLevel="0" collapsed="false">
      <c r="A4" s="23"/>
      <c r="B4" s="23"/>
      <c r="C4" s="24"/>
      <c r="D4" s="24"/>
      <c r="E4" s="23"/>
      <c r="F4" s="23"/>
      <c r="G4" s="24"/>
      <c r="H4" s="24"/>
      <c r="I4" s="23"/>
      <c r="J4" s="25"/>
      <c r="K4" s="25"/>
    </row>
    <row r="5" customFormat="false" ht="30" hidden="false" customHeight="true" outlineLevel="0" collapsed="false">
      <c r="A5" s="28"/>
      <c r="B5" s="28"/>
      <c r="C5" s="29"/>
      <c r="D5" s="29"/>
      <c r="E5" s="28"/>
      <c r="F5" s="28"/>
      <c r="G5" s="29"/>
      <c r="H5" s="29"/>
      <c r="I5" s="28"/>
      <c r="J5" s="30"/>
      <c r="K5" s="30"/>
    </row>
    <row r="6" customFormat="false" ht="30" hidden="false" customHeight="true" outlineLevel="0" collapsed="false">
      <c r="A6" s="23"/>
      <c r="B6" s="23"/>
      <c r="C6" s="24"/>
      <c r="D6" s="24"/>
      <c r="E6" s="23"/>
      <c r="F6" s="23"/>
      <c r="G6" s="24"/>
      <c r="H6" s="24"/>
      <c r="I6" s="23"/>
      <c r="J6" s="25"/>
      <c r="K6" s="25"/>
    </row>
    <row r="7" customFormat="false" ht="30" hidden="false" customHeight="true" outlineLevel="0" collapsed="false">
      <c r="A7" s="28"/>
      <c r="B7" s="28"/>
      <c r="C7" s="29"/>
      <c r="D7" s="29"/>
      <c r="E7" s="28"/>
      <c r="F7" s="28"/>
      <c r="G7" s="29"/>
      <c r="H7" s="29"/>
      <c r="I7" s="28"/>
      <c r="J7" s="30"/>
      <c r="K7" s="30"/>
    </row>
    <row r="8" customFormat="false" ht="30" hidden="false" customHeight="true" outlineLevel="0" collapsed="false">
      <c r="A8" s="23"/>
      <c r="B8" s="23"/>
      <c r="C8" s="24"/>
      <c r="D8" s="24"/>
      <c r="E8" s="23"/>
      <c r="F8" s="23"/>
      <c r="G8" s="24"/>
      <c r="H8" s="24"/>
      <c r="I8" s="23"/>
      <c r="J8" s="25"/>
      <c r="K8" s="25"/>
    </row>
    <row r="9" customFormat="false" ht="30" hidden="false" customHeight="true" outlineLevel="0" collapsed="false">
      <c r="A9" s="28"/>
      <c r="B9" s="28"/>
      <c r="C9" s="29"/>
      <c r="D9" s="29"/>
      <c r="E9" s="28"/>
      <c r="F9" s="28"/>
      <c r="G9" s="29"/>
      <c r="H9" s="29"/>
      <c r="I9" s="28"/>
      <c r="J9" s="30"/>
      <c r="K9" s="30"/>
    </row>
    <row r="10" customFormat="false" ht="30" hidden="false" customHeight="true" outlineLevel="0" collapsed="false">
      <c r="A10" s="23"/>
      <c r="B10" s="23"/>
      <c r="C10" s="24"/>
      <c r="D10" s="24"/>
      <c r="E10" s="23"/>
      <c r="F10" s="23"/>
      <c r="G10" s="24"/>
      <c r="H10" s="24"/>
      <c r="I10" s="23"/>
      <c r="J10" s="25"/>
      <c r="K10" s="25"/>
    </row>
    <row r="11" customFormat="false" ht="30" hidden="false" customHeight="true" outlineLevel="0" collapsed="false">
      <c r="A11" s="28"/>
      <c r="B11" s="28"/>
      <c r="C11" s="29"/>
      <c r="D11" s="29"/>
      <c r="E11" s="28"/>
      <c r="F11" s="28"/>
      <c r="G11" s="29"/>
      <c r="H11" s="29"/>
      <c r="I11" s="28"/>
      <c r="J11" s="30"/>
      <c r="K11" s="30"/>
    </row>
    <row r="12" customFormat="false" ht="30" hidden="false" customHeight="true" outlineLevel="0" collapsed="false">
      <c r="A12" s="23"/>
      <c r="B12" s="23"/>
      <c r="C12" s="24"/>
      <c r="D12" s="24"/>
      <c r="E12" s="23"/>
      <c r="F12" s="23"/>
      <c r="G12" s="24"/>
      <c r="H12" s="24"/>
      <c r="I12" s="23"/>
      <c r="J12" s="25"/>
      <c r="K12" s="25"/>
    </row>
    <row r="13" customFormat="false" ht="30" hidden="false" customHeight="true" outlineLevel="0" collapsed="false">
      <c r="A13" s="28"/>
      <c r="B13" s="28"/>
      <c r="C13" s="29"/>
      <c r="D13" s="29"/>
      <c r="E13" s="28"/>
      <c r="F13" s="28"/>
      <c r="G13" s="29"/>
      <c r="H13" s="29"/>
      <c r="I13" s="28"/>
      <c r="J13" s="30"/>
      <c r="K13" s="30"/>
    </row>
    <row r="14" customFormat="false" ht="30" hidden="false" customHeight="true" outlineLevel="0" collapsed="false">
      <c r="A14" s="23"/>
      <c r="B14" s="23"/>
      <c r="C14" s="24"/>
      <c r="D14" s="24"/>
      <c r="E14" s="23"/>
      <c r="F14" s="23"/>
      <c r="G14" s="24"/>
      <c r="H14" s="24"/>
      <c r="I14" s="23"/>
      <c r="J14" s="25"/>
      <c r="K14" s="25"/>
    </row>
    <row r="15" customFormat="false" ht="30" hidden="false" customHeight="true" outlineLevel="0" collapsed="false">
      <c r="A15" s="28"/>
      <c r="B15" s="28"/>
      <c r="C15" s="29"/>
      <c r="D15" s="29"/>
      <c r="E15" s="28"/>
      <c r="F15" s="28"/>
      <c r="G15" s="29"/>
      <c r="H15" s="29"/>
      <c r="I15" s="28"/>
      <c r="J15" s="30"/>
      <c r="K15" s="30"/>
    </row>
    <row r="16" customFormat="false" ht="30" hidden="false" customHeight="true" outlineLevel="0" collapsed="false">
      <c r="A16" s="23"/>
      <c r="B16" s="23"/>
      <c r="C16" s="24"/>
      <c r="D16" s="24"/>
      <c r="E16" s="23"/>
      <c r="F16" s="23"/>
      <c r="G16" s="24"/>
      <c r="H16" s="24"/>
      <c r="I16" s="23"/>
      <c r="J16" s="25"/>
      <c r="K16" s="25"/>
    </row>
    <row r="17" customFormat="false" ht="30" hidden="false" customHeight="true" outlineLevel="0" collapsed="false">
      <c r="A17" s="28"/>
      <c r="B17" s="28"/>
      <c r="C17" s="29"/>
      <c r="D17" s="29"/>
      <c r="E17" s="28"/>
      <c r="F17" s="28"/>
      <c r="G17" s="29"/>
      <c r="H17" s="29"/>
      <c r="I17" s="28"/>
      <c r="J17" s="30"/>
      <c r="K17" s="30"/>
    </row>
    <row r="18" customFormat="false" ht="30" hidden="false" customHeight="true" outlineLevel="0" collapsed="false">
      <c r="A18" s="23"/>
      <c r="B18" s="23"/>
      <c r="C18" s="24"/>
      <c r="D18" s="24"/>
      <c r="E18" s="23"/>
      <c r="F18" s="23"/>
      <c r="G18" s="24"/>
      <c r="H18" s="24"/>
      <c r="I18" s="23"/>
      <c r="J18" s="25"/>
      <c r="K18" s="25"/>
    </row>
    <row r="19" customFormat="false" ht="30" hidden="false" customHeight="true" outlineLevel="0" collapsed="false">
      <c r="A19" s="28"/>
      <c r="B19" s="28"/>
      <c r="C19" s="29"/>
      <c r="D19" s="29"/>
      <c r="E19" s="28"/>
      <c r="F19" s="28"/>
      <c r="G19" s="29"/>
      <c r="H19" s="29"/>
      <c r="I19" s="28"/>
      <c r="J19" s="30"/>
      <c r="K19" s="30"/>
    </row>
    <row r="20" customFormat="false" ht="30" hidden="false" customHeight="true" outlineLevel="0" collapsed="false">
      <c r="A20" s="23"/>
      <c r="B20" s="23"/>
      <c r="C20" s="24"/>
      <c r="D20" s="24"/>
      <c r="E20" s="23"/>
      <c r="F20" s="23"/>
      <c r="G20" s="24"/>
      <c r="H20" s="24"/>
      <c r="I20" s="23"/>
      <c r="J20" s="25"/>
      <c r="K20" s="25"/>
    </row>
    <row r="21" customFormat="false" ht="30" hidden="false" customHeight="true" outlineLevel="0" collapsed="false">
      <c r="A21" s="28"/>
      <c r="B21" s="28"/>
      <c r="C21" s="29"/>
      <c r="D21" s="29"/>
      <c r="E21" s="28"/>
      <c r="F21" s="28"/>
      <c r="G21" s="29"/>
      <c r="H21" s="29"/>
      <c r="I21" s="28"/>
      <c r="J21" s="30"/>
      <c r="K21" s="30"/>
    </row>
    <row r="22" customFormat="false" ht="30" hidden="false" customHeight="true" outlineLevel="0" collapsed="false">
      <c r="A22" s="23"/>
      <c r="B22" s="23"/>
      <c r="C22" s="24"/>
      <c r="D22" s="24"/>
      <c r="E22" s="23"/>
      <c r="F22" s="23"/>
      <c r="G22" s="24"/>
      <c r="H22" s="24"/>
      <c r="I22" s="23"/>
      <c r="J22" s="25"/>
      <c r="K22" s="25"/>
    </row>
    <row r="23" customFormat="false" ht="30" hidden="false" customHeight="true" outlineLevel="0" collapsed="false">
      <c r="A23" s="28"/>
      <c r="B23" s="28"/>
      <c r="C23" s="29"/>
      <c r="D23" s="29"/>
      <c r="E23" s="28"/>
      <c r="F23" s="28"/>
      <c r="G23" s="29"/>
      <c r="H23" s="29"/>
      <c r="I23" s="28"/>
      <c r="J23" s="30"/>
      <c r="K23" s="30"/>
    </row>
    <row r="24" customFormat="false" ht="30" hidden="false" customHeight="true" outlineLevel="0" collapsed="false">
      <c r="A24" s="23"/>
      <c r="B24" s="23"/>
      <c r="C24" s="24"/>
      <c r="D24" s="24"/>
      <c r="E24" s="23"/>
      <c r="F24" s="23"/>
      <c r="G24" s="24"/>
      <c r="H24" s="24"/>
      <c r="I24" s="23"/>
      <c r="J24" s="25"/>
      <c r="K24" s="25"/>
    </row>
    <row r="25" customFormat="false" ht="30" hidden="false" customHeight="true" outlineLevel="0" collapsed="false">
      <c r="A25" s="28"/>
      <c r="B25" s="28"/>
      <c r="C25" s="29"/>
      <c r="D25" s="29"/>
      <c r="E25" s="28"/>
      <c r="F25" s="28"/>
      <c r="G25" s="29"/>
      <c r="H25" s="29"/>
      <c r="I25" s="28"/>
      <c r="J25" s="30"/>
      <c r="K25" s="30"/>
    </row>
    <row r="26" customFormat="false" ht="30" hidden="false" customHeight="true" outlineLevel="0" collapsed="false">
      <c r="A26" s="23"/>
      <c r="B26" s="23"/>
      <c r="C26" s="24"/>
      <c r="D26" s="24"/>
      <c r="E26" s="23"/>
      <c r="F26" s="23"/>
      <c r="G26" s="24"/>
      <c r="H26" s="24"/>
      <c r="I26" s="23"/>
      <c r="J26" s="25"/>
      <c r="K26" s="25"/>
    </row>
    <row r="27" customFormat="false" ht="30" hidden="false" customHeight="true" outlineLevel="0" collapsed="false">
      <c r="A27" s="28"/>
      <c r="B27" s="28"/>
      <c r="C27" s="29"/>
      <c r="D27" s="29"/>
      <c r="E27" s="28"/>
      <c r="F27" s="28"/>
      <c r="G27" s="29"/>
      <c r="H27" s="29"/>
      <c r="I27" s="28"/>
      <c r="J27" s="30"/>
      <c r="K27" s="30"/>
    </row>
    <row r="28" customFormat="false" ht="30" hidden="false" customHeight="true" outlineLevel="0" collapsed="false">
      <c r="A28" s="23"/>
      <c r="B28" s="23"/>
      <c r="C28" s="24"/>
      <c r="D28" s="24"/>
      <c r="E28" s="23"/>
      <c r="F28" s="23"/>
      <c r="G28" s="24"/>
      <c r="H28" s="24"/>
      <c r="I28" s="23"/>
      <c r="J28" s="25"/>
      <c r="K28" s="25"/>
    </row>
    <row r="29" customFormat="false" ht="30" hidden="false" customHeight="true" outlineLevel="0" collapsed="false">
      <c r="A29" s="28"/>
      <c r="B29" s="28"/>
      <c r="C29" s="29"/>
      <c r="D29" s="29"/>
      <c r="E29" s="28"/>
      <c r="F29" s="28"/>
      <c r="G29" s="29"/>
      <c r="H29" s="29"/>
      <c r="I29" s="28"/>
      <c r="J29" s="30"/>
      <c r="K29" s="30"/>
    </row>
    <row r="30" customFormat="false" ht="30" hidden="false" customHeight="true" outlineLevel="0" collapsed="false">
      <c r="A30" s="23"/>
      <c r="B30" s="23"/>
      <c r="C30" s="24"/>
      <c r="D30" s="24"/>
      <c r="E30" s="23"/>
      <c r="F30" s="23"/>
      <c r="G30" s="24"/>
      <c r="H30" s="24"/>
      <c r="I30" s="23"/>
      <c r="J30" s="25"/>
      <c r="K30" s="25"/>
    </row>
    <row r="31" customFormat="false" ht="30" hidden="false" customHeight="true" outlineLevel="0" collapsed="false">
      <c r="A31" s="28"/>
      <c r="B31" s="28"/>
      <c r="C31" s="29"/>
      <c r="D31" s="29"/>
      <c r="E31" s="28"/>
      <c r="F31" s="28"/>
      <c r="G31" s="29"/>
      <c r="H31" s="29"/>
      <c r="I31" s="28"/>
      <c r="J31" s="30"/>
      <c r="K31" s="30"/>
    </row>
    <row r="32" customFormat="false" ht="30" hidden="false" customHeight="true" outlineLevel="0" collapsed="false">
      <c r="A32" s="23"/>
      <c r="B32" s="23"/>
      <c r="C32" s="24"/>
      <c r="D32" s="24"/>
      <c r="E32" s="23"/>
      <c r="F32" s="23"/>
      <c r="G32" s="24"/>
      <c r="H32" s="24"/>
      <c r="I32" s="23"/>
      <c r="J32" s="25"/>
      <c r="K32" s="25"/>
    </row>
    <row r="33" customFormat="false" ht="30" hidden="false" customHeight="true" outlineLevel="0" collapsed="false">
      <c r="A33" s="28"/>
      <c r="B33" s="28"/>
      <c r="C33" s="29"/>
      <c r="D33" s="29"/>
      <c r="E33" s="28"/>
      <c r="F33" s="28"/>
      <c r="G33" s="29"/>
      <c r="H33" s="29"/>
      <c r="I33" s="28"/>
      <c r="J33" s="30"/>
      <c r="K33" s="30"/>
    </row>
  </sheetData>
  <conditionalFormatting sqref="E2:E33">
    <cfRule type="expression" priority="2" aboveAverage="0" equalAverage="0" bottom="0" percent="0" rank="0" text="" dxfId="1">
      <formula>E2="High"</formula>
    </cfRule>
    <cfRule type="expression" priority="3" aboveAverage="0" equalAverage="0" bottom="0" percent="0" rank="0" text="" dxfId="2">
      <formula>E2="Medium"</formula>
    </cfRule>
  </conditionalFormatting>
  <conditionalFormatting sqref="I2:I33">
    <cfRule type="expression" priority="4" aboveAverage="0" equalAverage="0" bottom="0" percent="0" rank="0" text="" dxfId="0">
      <formula>I2="Closed"</formula>
    </cfRule>
    <cfRule type="expression" priority="5" aboveAverage="0" equalAverage="0" bottom="0" percent="0" rank="0" text="" dxfId="1">
      <formula>I2="Occurred"</formula>
    </cfRule>
  </conditionalFormatting>
  <dataValidations count="5">
    <dataValidation allowBlank="true" errorStyle="stop" operator="between" showDropDown="false" showErrorMessage="false" showInputMessage="false" sqref="B2:B33" type="list">
      <formula1>"Risk,Issue"</formula1>
      <formula2>0</formula2>
    </dataValidation>
    <dataValidation allowBlank="true" errorStyle="stop" operator="between" showDropDown="false" showErrorMessage="false" showInputMessage="false" sqref="E2:E33" type="list">
      <formula1>"High,Medium,Low"</formula1>
      <formula2>0</formula2>
    </dataValidation>
    <dataValidation allowBlank="true" errorStyle="stop" operator="between" showDropDown="false" showErrorMessage="false" showInputMessage="false" sqref="F2:F33" type="list">
      <formula1>"High,Medium,Low"</formula1>
      <formula2>0</formula2>
    </dataValidation>
    <dataValidation allowBlank="true" errorStyle="stop" operator="between" showDropDown="false" showErrorMessage="false" showInputMessage="false" sqref="I2:I33" type="list">
      <formula1>"Open,Mitigated,Closed,Occurred"</formula1>
      <formula2>0</formula2>
    </dataValidation>
    <dataValidation allowBlank="true" errorStyle="stop" operator="between" showDropDown="false" showErrorMessage="false" showInputMessage="false" sqref="D2:D33" type="list">
      <formula1>Tracker!$B$2:$B$35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4" min="3" style="1" width="14"/>
    <col collapsed="false" customWidth="true" hidden="false" outlineLevel="0" max="5" min="5" style="1" width="26"/>
    <col collapsed="false" customWidth="true" hidden="false" outlineLevel="0" max="6" min="6" style="1" width="30"/>
  </cols>
  <sheetData>
    <row r="1" customFormat="false" ht="30" hidden="false" customHeight="true" outlineLevel="0" collapsed="false">
      <c r="A1" s="22" t="s">
        <v>163</v>
      </c>
      <c r="B1" s="22" t="s">
        <v>164</v>
      </c>
      <c r="C1" s="22" t="s">
        <v>165</v>
      </c>
      <c r="D1" s="22" t="s">
        <v>166</v>
      </c>
      <c r="E1" s="22" t="s">
        <v>167</v>
      </c>
      <c r="F1" s="22" t="s">
        <v>140</v>
      </c>
    </row>
    <row r="2" customFormat="false" ht="30" hidden="false" customHeight="true" outlineLevel="0" collapsed="false">
      <c r="A2" s="24" t="s">
        <v>168</v>
      </c>
      <c r="B2" s="24" t="s">
        <v>169</v>
      </c>
      <c r="C2" s="23" t="s">
        <v>170</v>
      </c>
      <c r="D2" s="23" t="s">
        <v>171</v>
      </c>
      <c r="E2" s="24"/>
      <c r="F2" s="24"/>
    </row>
    <row r="3" customFormat="false" ht="30" hidden="false" customHeight="true" outlineLevel="0" collapsed="false">
      <c r="A3" s="29" t="s">
        <v>172</v>
      </c>
      <c r="B3" s="29" t="s">
        <v>173</v>
      </c>
      <c r="C3" s="28" t="s">
        <v>170</v>
      </c>
      <c r="D3" s="28" t="s">
        <v>171</v>
      </c>
      <c r="E3" s="29"/>
      <c r="F3" s="29"/>
    </row>
    <row r="4" customFormat="false" ht="30" hidden="false" customHeight="true" outlineLevel="0" collapsed="false">
      <c r="A4" s="24"/>
      <c r="B4" s="24" t="s">
        <v>174</v>
      </c>
      <c r="C4" s="23" t="s">
        <v>175</v>
      </c>
      <c r="D4" s="23" t="s">
        <v>176</v>
      </c>
      <c r="E4" s="24"/>
      <c r="F4" s="24"/>
    </row>
    <row r="5" customFormat="false" ht="30" hidden="false" customHeight="true" outlineLevel="0" collapsed="false">
      <c r="A5" s="29"/>
      <c r="B5" s="29" t="s">
        <v>177</v>
      </c>
      <c r="C5" s="28" t="s">
        <v>175</v>
      </c>
      <c r="D5" s="28" t="s">
        <v>178</v>
      </c>
      <c r="E5" s="29"/>
      <c r="F5" s="29"/>
    </row>
    <row r="6" customFormat="false" ht="30" hidden="false" customHeight="true" outlineLevel="0" collapsed="false">
      <c r="A6" s="24"/>
      <c r="B6" s="24"/>
      <c r="C6" s="23"/>
      <c r="D6" s="23"/>
      <c r="E6" s="24"/>
      <c r="F6" s="24"/>
    </row>
    <row r="7" customFormat="false" ht="30" hidden="false" customHeight="true" outlineLevel="0" collapsed="false">
      <c r="A7" s="29"/>
      <c r="B7" s="29"/>
      <c r="C7" s="28"/>
      <c r="D7" s="28"/>
      <c r="E7" s="29"/>
      <c r="F7" s="29"/>
    </row>
    <row r="8" customFormat="false" ht="30" hidden="false" customHeight="true" outlineLevel="0" collapsed="false">
      <c r="A8" s="24"/>
      <c r="B8" s="24"/>
      <c r="C8" s="23"/>
      <c r="D8" s="23"/>
      <c r="E8" s="24"/>
      <c r="F8" s="24"/>
    </row>
    <row r="9" customFormat="false" ht="30" hidden="false" customHeight="true" outlineLevel="0" collapsed="false">
      <c r="A9" s="29"/>
      <c r="B9" s="29"/>
      <c r="C9" s="28"/>
      <c r="D9" s="28"/>
      <c r="E9" s="29"/>
      <c r="F9" s="29"/>
    </row>
    <row r="10" customFormat="false" ht="30" hidden="false" customHeight="true" outlineLevel="0" collapsed="false">
      <c r="A10" s="24"/>
      <c r="B10" s="24"/>
      <c r="C10" s="23"/>
      <c r="D10" s="23"/>
      <c r="E10" s="24"/>
      <c r="F10" s="24"/>
    </row>
    <row r="11" customFormat="false" ht="30" hidden="false" customHeight="true" outlineLevel="0" collapsed="false">
      <c r="A11" s="29"/>
      <c r="B11" s="29"/>
      <c r="C11" s="28"/>
      <c r="D11" s="28"/>
      <c r="E11" s="29"/>
      <c r="F11" s="29"/>
    </row>
    <row r="12" customFormat="false" ht="30" hidden="false" customHeight="true" outlineLevel="0" collapsed="false">
      <c r="A12" s="24"/>
      <c r="B12" s="24"/>
      <c r="C12" s="23"/>
      <c r="D12" s="23"/>
      <c r="E12" s="24"/>
      <c r="F12" s="24"/>
    </row>
    <row r="13" customFormat="false" ht="30" hidden="false" customHeight="true" outlineLevel="0" collapsed="false">
      <c r="A13" s="29"/>
      <c r="B13" s="29"/>
      <c r="C13" s="28"/>
      <c r="D13" s="28"/>
      <c r="E13" s="29"/>
      <c r="F13" s="29"/>
    </row>
    <row r="14" customFormat="false" ht="30" hidden="false" customHeight="true" outlineLevel="0" collapsed="false">
      <c r="A14" s="24"/>
      <c r="B14" s="24"/>
      <c r="C14" s="23"/>
      <c r="D14" s="23"/>
      <c r="E14" s="24"/>
      <c r="F14" s="24"/>
    </row>
    <row r="15" customFormat="false" ht="30" hidden="false" customHeight="true" outlineLevel="0" collapsed="false">
      <c r="A15" s="29"/>
      <c r="B15" s="29"/>
      <c r="C15" s="28"/>
      <c r="D15" s="28"/>
      <c r="E15" s="29"/>
      <c r="F15" s="29"/>
    </row>
    <row r="16" customFormat="false" ht="30" hidden="false" customHeight="true" outlineLevel="0" collapsed="false">
      <c r="A16" s="24"/>
      <c r="B16" s="24"/>
      <c r="C16" s="23"/>
      <c r="D16" s="23"/>
      <c r="E16" s="24"/>
      <c r="F16" s="24"/>
    </row>
    <row r="17" customFormat="false" ht="30" hidden="false" customHeight="true" outlineLevel="0" collapsed="false">
      <c r="A17" s="29"/>
      <c r="B17" s="29"/>
      <c r="C17" s="28"/>
      <c r="D17" s="28"/>
      <c r="E17" s="29"/>
      <c r="F17" s="29"/>
    </row>
    <row r="18" customFormat="false" ht="30" hidden="false" customHeight="true" outlineLevel="0" collapsed="false">
      <c r="A18" s="24"/>
      <c r="B18" s="24"/>
      <c r="C18" s="23"/>
      <c r="D18" s="23"/>
      <c r="E18" s="24"/>
      <c r="F18" s="24"/>
    </row>
    <row r="19" customFormat="false" ht="30" hidden="false" customHeight="true" outlineLevel="0" collapsed="false">
      <c r="A19" s="29"/>
      <c r="B19" s="29"/>
      <c r="C19" s="28"/>
      <c r="D19" s="28"/>
      <c r="E19" s="29"/>
      <c r="F19" s="29"/>
    </row>
    <row r="20" customFormat="false" ht="30" hidden="false" customHeight="true" outlineLevel="0" collapsed="false">
      <c r="A20" s="24"/>
      <c r="B20" s="24"/>
      <c r="C20" s="23"/>
      <c r="D20" s="23"/>
      <c r="E20" s="24"/>
      <c r="F20" s="24"/>
    </row>
    <row r="21" customFormat="false" ht="30" hidden="false" customHeight="true" outlineLevel="0" collapsed="false">
      <c r="A21" s="29"/>
      <c r="B21" s="29"/>
      <c r="C21" s="28"/>
      <c r="D21" s="28"/>
      <c r="E21" s="29"/>
      <c r="F21" s="29"/>
    </row>
    <row r="22" customFormat="false" ht="30" hidden="false" customHeight="true" outlineLevel="0" collapsed="false">
      <c r="A22" s="24"/>
      <c r="B22" s="24"/>
      <c r="C22" s="23"/>
      <c r="D22" s="23"/>
      <c r="E22" s="24"/>
      <c r="F22" s="24"/>
    </row>
    <row r="23" customFormat="false" ht="30" hidden="false" customHeight="true" outlineLevel="0" collapsed="false">
      <c r="A23" s="29"/>
      <c r="B23" s="29"/>
      <c r="C23" s="28"/>
      <c r="D23" s="28"/>
      <c r="E23" s="29"/>
      <c r="F23" s="29"/>
    </row>
    <row r="24" customFormat="false" ht="30" hidden="false" customHeight="true" outlineLevel="0" collapsed="false">
      <c r="A24" s="24"/>
      <c r="B24" s="24"/>
      <c r="C24" s="23"/>
      <c r="D24" s="23"/>
      <c r="E24" s="24"/>
      <c r="F24" s="24"/>
    </row>
    <row r="25" customFormat="false" ht="30" hidden="false" customHeight="true" outlineLevel="0" collapsed="false">
      <c r="A25" s="29"/>
      <c r="B25" s="29"/>
      <c r="C25" s="28"/>
      <c r="D25" s="28"/>
      <c r="E25" s="29"/>
      <c r="F25" s="29"/>
    </row>
  </sheetData>
  <dataValidations count="2">
    <dataValidation allowBlank="true" errorStyle="stop" operator="between" showDropDown="false" showErrorMessage="false" showInputMessage="false" sqref="C2:C25" type="list">
      <formula1>"Ours,Customer,Third-Party"</formula1>
      <formula2>0</formula2>
    </dataValidation>
    <dataValidation allowBlank="true" errorStyle="stop" operator="between" showDropDown="false" showErrorMessage="false" showInputMessage="false" sqref="D2:D25" type="list">
      <formula1>"Responsible,Accountable,Consulted,Informed"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6" min="6" style="1" width="30"/>
    <col collapsed="false" customWidth="true" hidden="false" outlineLevel="0" max="7" min="7" style="1" width="16"/>
  </cols>
  <sheetData>
    <row r="1" customFormat="false" ht="30" hidden="false" customHeight="true" outlineLevel="0" collapsed="false">
      <c r="A1" s="34" t="s">
        <v>131</v>
      </c>
      <c r="B1" s="34" t="s">
        <v>10</v>
      </c>
      <c r="C1" s="34" t="s">
        <v>179</v>
      </c>
      <c r="D1" s="34" t="s">
        <v>180</v>
      </c>
      <c r="E1" s="34" t="s">
        <v>181</v>
      </c>
      <c r="F1" s="34" t="s">
        <v>182</v>
      </c>
      <c r="G1" s="34" t="s">
        <v>183</v>
      </c>
    </row>
    <row r="2" customFormat="false" ht="30" hidden="false" customHeight="true" outlineLevel="0" collapsed="false">
      <c r="A2" s="25" t="n">
        <v>46204</v>
      </c>
      <c r="B2" s="24" t="s">
        <v>184</v>
      </c>
      <c r="C2" s="23" t="s">
        <v>185</v>
      </c>
      <c r="D2" s="24" t="s">
        <v>186</v>
      </c>
      <c r="E2" s="24" t="s">
        <v>187</v>
      </c>
      <c r="F2" s="24" t="s">
        <v>188</v>
      </c>
      <c r="G2" s="23"/>
    </row>
    <row r="3" customFormat="false" ht="30" hidden="false" customHeight="true" outlineLevel="0" collapsed="false">
      <c r="A3" s="30"/>
      <c r="B3" s="29"/>
      <c r="C3" s="28"/>
      <c r="D3" s="29"/>
      <c r="E3" s="29"/>
      <c r="F3" s="29"/>
      <c r="G3" s="28"/>
    </row>
    <row r="4" customFormat="false" ht="30" hidden="false" customHeight="true" outlineLevel="0" collapsed="false">
      <c r="A4" s="25"/>
      <c r="B4" s="24"/>
      <c r="C4" s="23"/>
      <c r="D4" s="24"/>
      <c r="E4" s="24"/>
      <c r="F4" s="24"/>
      <c r="G4" s="23"/>
    </row>
    <row r="5" customFormat="false" ht="30" hidden="false" customHeight="true" outlineLevel="0" collapsed="false">
      <c r="A5" s="30"/>
      <c r="B5" s="29"/>
      <c r="C5" s="28"/>
      <c r="D5" s="29"/>
      <c r="E5" s="29"/>
      <c r="F5" s="29"/>
      <c r="G5" s="28"/>
    </row>
    <row r="6" customFormat="false" ht="30" hidden="false" customHeight="true" outlineLevel="0" collapsed="false">
      <c r="A6" s="25"/>
      <c r="B6" s="24"/>
      <c r="C6" s="23"/>
      <c r="D6" s="24"/>
      <c r="E6" s="24"/>
      <c r="F6" s="24"/>
      <c r="G6" s="23"/>
    </row>
    <row r="7" customFormat="false" ht="30" hidden="false" customHeight="true" outlineLevel="0" collapsed="false">
      <c r="A7" s="30"/>
      <c r="B7" s="29"/>
      <c r="C7" s="28"/>
      <c r="D7" s="29"/>
      <c r="E7" s="29"/>
      <c r="F7" s="29"/>
      <c r="G7" s="28"/>
    </row>
    <row r="8" customFormat="false" ht="30" hidden="false" customHeight="true" outlineLevel="0" collapsed="false">
      <c r="A8" s="25"/>
      <c r="B8" s="24"/>
      <c r="C8" s="23"/>
      <c r="D8" s="24"/>
      <c r="E8" s="24"/>
      <c r="F8" s="24"/>
      <c r="G8" s="23"/>
    </row>
    <row r="9" customFormat="false" ht="30" hidden="false" customHeight="true" outlineLevel="0" collapsed="false">
      <c r="A9" s="30"/>
      <c r="B9" s="29"/>
      <c r="C9" s="28"/>
      <c r="D9" s="29"/>
      <c r="E9" s="29"/>
      <c r="F9" s="29"/>
      <c r="G9" s="28"/>
    </row>
    <row r="10" customFormat="false" ht="30" hidden="false" customHeight="true" outlineLevel="0" collapsed="false">
      <c r="A10" s="25"/>
      <c r="B10" s="24"/>
      <c r="C10" s="23"/>
      <c r="D10" s="24"/>
      <c r="E10" s="24"/>
      <c r="F10" s="24"/>
      <c r="G10" s="23"/>
    </row>
    <row r="11" customFormat="false" ht="30" hidden="false" customHeight="true" outlineLevel="0" collapsed="false">
      <c r="A11" s="30"/>
      <c r="B11" s="29"/>
      <c r="C11" s="28"/>
      <c r="D11" s="29"/>
      <c r="E11" s="29"/>
      <c r="F11" s="29"/>
      <c r="G11" s="28"/>
    </row>
    <row r="12" customFormat="false" ht="30" hidden="false" customHeight="true" outlineLevel="0" collapsed="false">
      <c r="A12" s="25"/>
      <c r="B12" s="24"/>
      <c r="C12" s="23"/>
      <c r="D12" s="24"/>
      <c r="E12" s="24"/>
      <c r="F12" s="24"/>
      <c r="G12" s="23"/>
    </row>
    <row r="13" customFormat="false" ht="30" hidden="false" customHeight="true" outlineLevel="0" collapsed="false">
      <c r="A13" s="30"/>
      <c r="B13" s="29"/>
      <c r="C13" s="28"/>
      <c r="D13" s="29"/>
      <c r="E13" s="29"/>
      <c r="F13" s="29"/>
      <c r="G13" s="28"/>
    </row>
    <row r="14" customFormat="false" ht="30" hidden="false" customHeight="true" outlineLevel="0" collapsed="false">
      <c r="A14" s="25"/>
      <c r="B14" s="24"/>
      <c r="C14" s="23"/>
      <c r="D14" s="24"/>
      <c r="E14" s="24"/>
      <c r="F14" s="24"/>
      <c r="G14" s="23"/>
    </row>
    <row r="15" customFormat="false" ht="30" hidden="false" customHeight="true" outlineLevel="0" collapsed="false">
      <c r="A15" s="30"/>
      <c r="B15" s="29"/>
      <c r="C15" s="28"/>
      <c r="D15" s="29"/>
      <c r="E15" s="29"/>
      <c r="F15" s="29"/>
      <c r="G15" s="28"/>
    </row>
    <row r="16" customFormat="false" ht="30" hidden="false" customHeight="true" outlineLevel="0" collapsed="false">
      <c r="A16" s="25"/>
      <c r="B16" s="24"/>
      <c r="C16" s="23"/>
      <c r="D16" s="24"/>
      <c r="E16" s="24"/>
      <c r="F16" s="24"/>
      <c r="G16" s="23"/>
    </row>
    <row r="17" customFormat="false" ht="30" hidden="false" customHeight="true" outlineLevel="0" collapsed="false">
      <c r="A17" s="30"/>
      <c r="B17" s="29"/>
      <c r="C17" s="28"/>
      <c r="D17" s="29"/>
      <c r="E17" s="29"/>
      <c r="F17" s="29"/>
      <c r="G17" s="28"/>
    </row>
    <row r="18" customFormat="false" ht="30" hidden="false" customHeight="true" outlineLevel="0" collapsed="false">
      <c r="A18" s="25"/>
      <c r="B18" s="24"/>
      <c r="C18" s="23"/>
      <c r="D18" s="24"/>
      <c r="E18" s="24"/>
      <c r="F18" s="24"/>
      <c r="G18" s="23"/>
    </row>
    <row r="19" customFormat="false" ht="30" hidden="false" customHeight="true" outlineLevel="0" collapsed="false">
      <c r="A19" s="30"/>
      <c r="B19" s="29"/>
      <c r="C19" s="28"/>
      <c r="D19" s="29"/>
      <c r="E19" s="29"/>
      <c r="F19" s="29"/>
      <c r="G19" s="28"/>
    </row>
    <row r="20" customFormat="false" ht="30" hidden="false" customHeight="true" outlineLevel="0" collapsed="false">
      <c r="A20" s="25"/>
      <c r="B20" s="24"/>
      <c r="C20" s="23"/>
      <c r="D20" s="24"/>
      <c r="E20" s="24"/>
      <c r="F20" s="24"/>
      <c r="G20" s="23"/>
    </row>
    <row r="21" customFormat="false" ht="30" hidden="false" customHeight="true" outlineLevel="0" collapsed="false">
      <c r="A21" s="30"/>
      <c r="B21" s="29"/>
      <c r="C21" s="28"/>
      <c r="D21" s="29"/>
      <c r="E21" s="29"/>
      <c r="F21" s="29"/>
      <c r="G21" s="28"/>
    </row>
    <row r="22" customFormat="false" ht="30" hidden="false" customHeight="true" outlineLevel="0" collapsed="false">
      <c r="A22" s="25"/>
      <c r="B22" s="24"/>
      <c r="C22" s="23"/>
      <c r="D22" s="24"/>
      <c r="E22" s="24"/>
      <c r="F22" s="24"/>
      <c r="G22" s="23"/>
    </row>
    <row r="23" customFormat="false" ht="30" hidden="false" customHeight="true" outlineLevel="0" collapsed="false">
      <c r="A23" s="30"/>
      <c r="B23" s="29"/>
      <c r="C23" s="28"/>
      <c r="D23" s="29"/>
      <c r="E23" s="29"/>
      <c r="F23" s="29"/>
      <c r="G23" s="28"/>
    </row>
    <row r="24" customFormat="false" ht="30" hidden="false" customHeight="true" outlineLevel="0" collapsed="false">
      <c r="A24" s="25"/>
      <c r="B24" s="24"/>
      <c r="C24" s="23"/>
      <c r="D24" s="24"/>
      <c r="E24" s="24"/>
      <c r="F24" s="24"/>
      <c r="G24" s="23"/>
    </row>
    <row r="25" customFormat="false" ht="30" hidden="false" customHeight="true" outlineLevel="0" collapsed="false">
      <c r="A25" s="30"/>
      <c r="B25" s="29"/>
      <c r="C25" s="28"/>
      <c r="D25" s="29"/>
      <c r="E25" s="29"/>
      <c r="F25" s="29"/>
      <c r="G25" s="28"/>
    </row>
    <row r="26" customFormat="false" ht="30" hidden="false" customHeight="true" outlineLevel="0" collapsed="false">
      <c r="A26" s="25"/>
      <c r="B26" s="24"/>
      <c r="C26" s="23"/>
      <c r="D26" s="24"/>
      <c r="E26" s="24"/>
      <c r="F26" s="24"/>
      <c r="G26" s="23"/>
    </row>
    <row r="27" customFormat="false" ht="30" hidden="false" customHeight="true" outlineLevel="0" collapsed="false">
      <c r="A27" s="30"/>
      <c r="B27" s="29"/>
      <c r="C27" s="28"/>
      <c r="D27" s="29"/>
      <c r="E27" s="29"/>
      <c r="F27" s="29"/>
      <c r="G27" s="28"/>
    </row>
    <row r="28" customFormat="false" ht="30" hidden="false" customHeight="true" outlineLevel="0" collapsed="false">
      <c r="A28" s="25"/>
      <c r="B28" s="24"/>
      <c r="C28" s="23"/>
      <c r="D28" s="24"/>
      <c r="E28" s="24"/>
      <c r="F28" s="24"/>
      <c r="G28" s="23"/>
    </row>
    <row r="29" customFormat="false" ht="30" hidden="false" customHeight="true" outlineLevel="0" collapsed="false">
      <c r="A29" s="30"/>
      <c r="B29" s="29"/>
      <c r="C29" s="28"/>
      <c r="D29" s="29"/>
      <c r="E29" s="29"/>
      <c r="F29" s="29"/>
      <c r="G29" s="28"/>
    </row>
    <row r="30" customFormat="false" ht="30" hidden="false" customHeight="true" outlineLevel="0" collapsed="false">
      <c r="A30" s="25"/>
      <c r="B30" s="24"/>
      <c r="C30" s="23"/>
      <c r="D30" s="24"/>
      <c r="E30" s="24"/>
      <c r="F30" s="24"/>
      <c r="G30" s="23"/>
    </row>
    <row r="31" customFormat="false" ht="30" hidden="false" customHeight="true" outlineLevel="0" collapsed="false">
      <c r="A31" s="30"/>
      <c r="B31" s="29"/>
      <c r="C31" s="28"/>
      <c r="D31" s="29"/>
      <c r="E31" s="29"/>
      <c r="F31" s="29"/>
      <c r="G31" s="28"/>
    </row>
    <row r="32" customFormat="false" ht="30" hidden="false" customHeight="true" outlineLevel="0" collapsed="false">
      <c r="A32" s="25"/>
      <c r="B32" s="24"/>
      <c r="C32" s="23"/>
      <c r="D32" s="24"/>
      <c r="E32" s="24"/>
      <c r="F32" s="24"/>
      <c r="G32" s="23"/>
    </row>
  </sheetData>
  <dataValidations count="2">
    <dataValidation allowBlank="true" errorStyle="stop" operator="between" showDropDown="false" showErrorMessage="false" showInputMessage="false" sqref="C2:C32" type="list">
      <formula1>"Target Date,Scope,Owner,Priority,Phase,Other"</formula1>
      <formula2>0</formula2>
    </dataValidation>
    <dataValidation allowBlank="true" errorStyle="stop" operator="between" showDropDown="false" showErrorMessage="false" showInputMessage="false" sqref="B2:B32" type="list">
      <formula1>Tracker!$B$2:$B$35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2026-07-01T17:40:51Z</dcterms:created>
  <dc:creator>openpyxl</dc:creator>
  <dc:description/>
  <dc:language>en-US</dc:language>
  <cp:lastModifiedBy/>
  <dcterms:modified xsi:type="dcterms:W3CDTF">2026-07-02T03:50:54Z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